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chartsheets/sheet2.xml" ContentType="application/vnd.openxmlformats-officedocument.spreadsheetml.chartsheet+xml"/>
  <Override PartName="/xl/worksheets/sheet5.xml" ContentType="application/vnd.openxmlformats-officedocument.spreadsheetml.worksheet+xml"/>
  <Override PartName="/xl/chartsheets/sheet3.xml" ContentType="application/vnd.openxmlformats-officedocument.spreadsheetml.chartsheet+xml"/>
  <Override PartName="/xl/worksheets/sheet6.xml" ContentType="application/vnd.openxmlformats-officedocument.spreadsheetml.worksheet+xml"/>
  <Override PartName="/xl/chartsheets/sheet4.xml" ContentType="application/vnd.openxmlformats-officedocument.spreadsheetml.chart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Zoser\Desktop\David\proyecto tesis\"/>
    </mc:Choice>
  </mc:AlternateContent>
  <bookViews>
    <workbookView xWindow="-120" yWindow="-120" windowWidth="20736" windowHeight="11160" tabRatio="750"/>
  </bookViews>
  <sheets>
    <sheet name="Primarios" sheetId="24" r:id="rId1"/>
    <sheet name="PalisadeFitLinks" sheetId="9" state="hidden" r:id="rId2"/>
    <sheet name="T" sheetId="2" r:id="rId3"/>
    <sheet name="GT" sheetId="50" r:id="rId4"/>
    <sheet name="Fallas Tem" sheetId="75" r:id="rId5"/>
    <sheet name="Grafico Fallas Tem" sheetId="76" r:id="rId6"/>
    <sheet name="HR" sheetId="73" r:id="rId7"/>
    <sheet name="GHR" sheetId="74" r:id="rId8"/>
    <sheet name="Fallas HR " sheetId="77" r:id="rId9"/>
    <sheet name="Grafico fallas HR" sheetId="78" r:id="rId10"/>
    <sheet name="Análisis" sheetId="67" r:id="rId11"/>
  </sheets>
  <definedNames>
    <definedName name="_xlnm.Print_Titles" localSheetId="6">HR!$1:$15</definedName>
    <definedName name="_xlnm.Print_Titles" localSheetId="0">Primarios!$1:$6</definedName>
    <definedName name="_xlnm.Print_Titles" localSheetId="2">T!$1:$15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<sst xmlns="http://schemas.openxmlformats.org/spreadsheetml/2006/main" count="214" uniqueCount="113">
  <si>
    <t>Device Name:</t>
  </si>
  <si>
    <t>Device Description:</t>
  </si>
  <si>
    <t>Serial Number:</t>
  </si>
  <si>
    <t>Sample Number</t>
  </si>
  <si>
    <t>TEMPERATURA MÍNIMA</t>
  </si>
  <si>
    <t>TEMPERATURA PROMEDIO</t>
  </si>
  <si>
    <t>Device ID:</t>
  </si>
  <si>
    <t>Num Links</t>
  </si>
  <si>
    <t>Date and Time  (UTC-05:00)</t>
  </si>
  <si>
    <t>Temperature (°C)</t>
  </si>
  <si>
    <t>Ubicación</t>
  </si>
  <si>
    <t>Muestra estadistica (datos):</t>
  </si>
  <si>
    <t>Frecuencia de muestreo</t>
  </si>
  <si>
    <t>Tiempo de muestreo</t>
  </si>
  <si>
    <t>Hora de inicio de calificación:</t>
  </si>
  <si>
    <t>Hora final de calificación:</t>
  </si>
  <si>
    <t>s</t>
  </si>
  <si>
    <t>DISTRUBUCION</t>
  </si>
  <si>
    <t>Estudio de reproducibilidad (intervalo de confiabilidad del 95%)</t>
  </si>
  <si>
    <t>Numero de recolectores</t>
  </si>
  <si>
    <t>LMD 95%</t>
  </si>
  <si>
    <t>x</t>
  </si>
  <si>
    <t xml:space="preserve">   intervalo  95%</t>
  </si>
  <si>
    <t>n</t>
  </si>
  <si>
    <t>inf</t>
  </si>
  <si>
    <t>sup</t>
  </si>
  <si>
    <t>ANALISIS ESTADISTICO</t>
  </si>
  <si>
    <t>TEMPERATURA MINIMA</t>
  </si>
  <si>
    <t>TEMPERATURA MAXIMA</t>
  </si>
  <si>
    <t>Recolector</t>
  </si>
  <si>
    <t>Cumple</t>
  </si>
  <si>
    <t>Media del recolector</t>
  </si>
  <si>
    <t>Diferencia</t>
  </si>
  <si>
    <t>(si/no)</t>
  </si>
  <si>
    <t>cumple</t>
  </si>
  <si>
    <t>Tmed</t>
  </si>
  <si>
    <t>Tmin</t>
  </si>
  <si>
    <t>Tmax</t>
  </si>
  <si>
    <t>Temperatura  (ºC )</t>
  </si>
  <si>
    <t>TEMPERATURA MÁXIMA</t>
  </si>
  <si>
    <t>Tabla 1: Ciclos realizados y recolectores utilizados</t>
  </si>
  <si>
    <t>Fecha - Hora</t>
  </si>
  <si>
    <t>Inicial</t>
  </si>
  <si>
    <t>Final</t>
  </si>
  <si>
    <t>Serial</t>
  </si>
  <si>
    <t>(++)</t>
  </si>
  <si>
    <t>Temperatura (°C)</t>
  </si>
  <si>
    <t>Si/No</t>
  </si>
  <si>
    <t>Temperatura promedio</t>
  </si>
  <si>
    <t>(C )</t>
  </si>
  <si>
    <t>Posición 1</t>
  </si>
  <si>
    <t>Posición 2</t>
  </si>
  <si>
    <t>Posición 3</t>
  </si>
  <si>
    <t>Posición 4</t>
  </si>
  <si>
    <t>Posición 5</t>
  </si>
  <si>
    <t xml:space="preserve"> </t>
  </si>
  <si>
    <t xml:space="preserve">Empresa: </t>
  </si>
  <si>
    <t xml:space="preserve">Marca: </t>
  </si>
  <si>
    <t xml:space="preserve">Ubicación: </t>
  </si>
  <si>
    <t>Tabla 5: Evaluación dinámica del termo higrómetro</t>
  </si>
  <si>
    <t>Posición 6</t>
  </si>
  <si>
    <t>Ubication</t>
  </si>
  <si>
    <t>Posición 7</t>
  </si>
  <si>
    <t>Posición 8</t>
  </si>
  <si>
    <t>Posición 9</t>
  </si>
  <si>
    <t>Sample</t>
  </si>
  <si>
    <t>Cronometro (min)</t>
  </si>
  <si>
    <r>
      <t xml:space="preserve">Recolectores </t>
    </r>
    <r>
      <rPr>
        <b/>
        <vertAlign val="superscript"/>
        <sz val="8"/>
        <rFont val="Arial"/>
        <family val="2"/>
      </rPr>
      <t>(+)</t>
    </r>
  </si>
  <si>
    <r>
      <t>T</t>
    </r>
    <r>
      <rPr>
        <vertAlign val="subscript"/>
        <sz val="8"/>
        <rFont val="Arial"/>
        <family val="2"/>
      </rPr>
      <t xml:space="preserve">control 
</t>
    </r>
    <r>
      <rPr>
        <sz val="8"/>
        <rFont val="Arial"/>
        <family val="2"/>
      </rPr>
      <t>(°C)</t>
    </r>
  </si>
  <si>
    <r>
      <t>T</t>
    </r>
    <r>
      <rPr>
        <vertAlign val="subscript"/>
        <sz val="8"/>
        <rFont val="Arial"/>
        <family val="2"/>
      </rPr>
      <t>recolector</t>
    </r>
    <r>
      <rPr>
        <sz val="8"/>
        <rFont val="Arial"/>
        <family val="2"/>
      </rPr>
      <t xml:space="preserve"> ( ºC)</t>
    </r>
  </si>
  <si>
    <r>
      <t xml:space="preserve">min </t>
    </r>
    <r>
      <rPr>
        <vertAlign val="superscript"/>
        <sz val="8"/>
        <rFont val="Arial"/>
        <family val="2"/>
      </rPr>
      <t>(-)</t>
    </r>
  </si>
  <si>
    <r>
      <t xml:space="preserve">max </t>
    </r>
    <r>
      <rPr>
        <vertAlign val="superscript"/>
        <sz val="8"/>
        <rFont val="Arial"/>
        <family val="2"/>
      </rPr>
      <t>(+)</t>
    </r>
  </si>
  <si>
    <r>
      <t xml:space="preserve">Diferencia </t>
    </r>
    <r>
      <rPr>
        <vertAlign val="superscript"/>
        <sz val="8"/>
        <rFont val="Arial"/>
        <family val="2"/>
      </rPr>
      <t>(-)</t>
    </r>
  </si>
  <si>
    <r>
      <t xml:space="preserve">Recolectores </t>
    </r>
    <r>
      <rPr>
        <vertAlign val="superscript"/>
        <sz val="8"/>
        <rFont val="Arial"/>
        <family val="2"/>
      </rPr>
      <t>(^)</t>
    </r>
  </si>
  <si>
    <r>
      <t xml:space="preserve">Lectura del equipo  </t>
    </r>
    <r>
      <rPr>
        <vertAlign val="superscript"/>
        <sz val="8"/>
        <rFont val="Arial"/>
        <family val="2"/>
      </rPr>
      <t>(</t>
    </r>
    <r>
      <rPr>
        <sz val="8"/>
        <rFont val="Arial"/>
        <family val="2"/>
      </rPr>
      <t>L</t>
    </r>
    <r>
      <rPr>
        <vertAlign val="subscript"/>
        <sz val="8"/>
        <rFont val="Arial"/>
        <family val="2"/>
      </rPr>
      <t>c</t>
    </r>
    <r>
      <rPr>
        <vertAlign val="superscript"/>
        <sz val="8"/>
        <rFont val="Arial"/>
        <family val="2"/>
      </rPr>
      <t>)</t>
    </r>
  </si>
  <si>
    <t>Humedad (% RH)</t>
  </si>
  <si>
    <t>Humedad relativa (%)</t>
  </si>
  <si>
    <t xml:space="preserve">Tabla 4: Evaluación dinámica del controlador de temperatura </t>
  </si>
  <si>
    <r>
      <t>HR</t>
    </r>
    <r>
      <rPr>
        <vertAlign val="subscript"/>
        <sz val="8"/>
        <rFont val="Arial"/>
        <family val="2"/>
      </rPr>
      <t xml:space="preserve">control 
</t>
    </r>
    <r>
      <rPr>
        <sz val="8"/>
        <rFont val="Arial"/>
        <family val="2"/>
      </rPr>
      <t>(%)</t>
    </r>
  </si>
  <si>
    <t>HRmed</t>
  </si>
  <si>
    <t>HRmin</t>
  </si>
  <si>
    <t>HRmax</t>
  </si>
  <si>
    <r>
      <t>HR</t>
    </r>
    <r>
      <rPr>
        <vertAlign val="subscript"/>
        <sz val="8"/>
        <rFont val="Arial"/>
        <family val="2"/>
      </rPr>
      <t>recolector</t>
    </r>
    <r>
      <rPr>
        <sz val="8"/>
        <rFont val="Arial"/>
        <family val="2"/>
      </rPr>
      <t xml:space="preserve"> (%)</t>
    </r>
  </si>
  <si>
    <t>(%)</t>
  </si>
  <si>
    <t>Humedad relativa promedio</t>
  </si>
  <si>
    <t>Fecha calificación:</t>
  </si>
  <si>
    <t>Fecha re-calificación:</t>
  </si>
  <si>
    <t>Rango</t>
  </si>
  <si>
    <t>Tabla 2: Distribución de la temperatura</t>
  </si>
  <si>
    <t>Tabla 3: Distribución de la humedad relativa</t>
  </si>
  <si>
    <t>Rango de temperatura:</t>
  </si>
  <si>
    <t>Rango de humedad relativa:</t>
  </si>
  <si>
    <t>Date and Time</t>
  </si>
  <si>
    <t>5 minutos</t>
  </si>
  <si>
    <t>24 horas</t>
  </si>
  <si>
    <t>Código de interno:</t>
  </si>
  <si>
    <t>ANALISIS CALIFICACIÓN OPERACIONAL- ESTABILIDAD DEL CALOR</t>
  </si>
  <si>
    <t>ANALISIS CALIFICACIÓN OPERACIONAL- HUMEDAD RELATIVA</t>
  </si>
  <si>
    <t>Protocolo: Operacional- Cámara climática</t>
  </si>
  <si>
    <t>Identificación</t>
  </si>
  <si>
    <t>Temp promedio (°C)</t>
  </si>
  <si>
    <t>Temp máxima promedio</t>
  </si>
  <si>
    <t>Punto más caliente</t>
  </si>
  <si>
    <t>Punto más frío</t>
  </si>
  <si>
    <t>Temp mínima promedio</t>
  </si>
  <si>
    <t>HR promedio (%)</t>
  </si>
  <si>
    <t>Humedad máxima promedio</t>
  </si>
  <si>
    <t>Punto más húmedo</t>
  </si>
  <si>
    <t>Punto menos húmedo</t>
  </si>
  <si>
    <t>Humedad mínima promedio</t>
  </si>
  <si>
    <t>Tabla 6: Localización de puntos críticos</t>
  </si>
  <si>
    <t>Recuperación</t>
  </si>
  <si>
    <t>Corte de energía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</si>
</sst>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-* #,##0.00_-;\-* #,##0.00_-;_-* &quot;-&quot;??_-;_-@_-"/>
    <numFmt numFmtId="164" formatCode="_ * #,##0.00_ ;_ * \-#,##0.00_ ;_ * &quot;-&quot;??_ ;_ @_ "/>
    <numFmt numFmtId="165" formatCode="yyyy\-mm\-dd\ hh:mm:ss"/>
    <numFmt numFmtId="166" formatCode="0.00;[Red]0.00"/>
    <numFmt numFmtId="167" formatCode="0.0"/>
    <numFmt numFmtId="168" formatCode="[$-240A]hh:mm:ss\ AM/PM;@"/>
    <numFmt numFmtId="169" formatCode="h:mm:ss;@"/>
    <numFmt numFmtId="170" formatCode="0.000"/>
    <numFmt numFmtId="171" formatCode="[$-F400]h:mm:ss\ AM/PM"/>
    <numFmt numFmtId="172" formatCode="h:mm:ss\ &quot;Horas&quot;"/>
    <numFmt numFmtId="173" formatCode="0\ &quot; °C +/- 2 °C&quot;"/>
    <numFmt numFmtId="174" formatCode="0\ &quot;%HR +/- 5 %HR&quot;"/>
    <numFmt numFmtId="175" formatCode="yyyy\-mm\-dd;@"/>
    <numFmt numFmtId="176" formatCode="dd/mm/yyyy\ hh:mm\ AM/PM"/>
    <numFmt numFmtId="177" formatCode="0.00\ \°\C"/>
    <numFmt numFmtId="178" formatCode="d/mm/yyyy\ h:mm:ss\ AM/PM"/>
    <numFmt numFmtId="179" formatCode="0\ &quot;%HR&quot;"/>
  </numFmts>
  <fonts count="3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sz val="8"/>
      <color rgb="FF000000"/>
      <name val="Arial"/>
      <family val="2"/>
    </font>
    <font>
      <vertAlign val="subscript"/>
      <sz val="8"/>
      <name val="Arial"/>
      <family val="2"/>
    </font>
    <font>
      <vertAlign val="superscript"/>
      <sz val="8"/>
      <name val="Arial"/>
      <family val="2"/>
    </font>
    <font>
      <b/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D8B7B"/>
        <bgColor indexed="64"/>
      </patternFill>
    </fill>
    <fill>
      <patternFill patternType="solid">
        <fgColor rgb="FFF2321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63">
    <xf numFmtId="0" fontId="0" fillId="0" borderId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15" fillId="0" borderId="0"/>
    <xf numFmtId="0" fontId="9" fillId="0" borderId="0"/>
    <xf numFmtId="0" fontId="8" fillId="0" borderId="0"/>
    <xf numFmtId="0" fontId="1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12">
    <xf numFmtId="0" fontId="0" fillId="0" borderId="0" xfId="0"/>
    <xf numFmtId="176" fontId="22" fillId="0" borderId="0" xfId="95" applyNumberFormat="1" applyFont="1" applyProtection="1">
      <protection hidden="1"/>
    </xf>
    <xf numFmtId="49" fontId="23" fillId="2" borderId="0" xfId="0" applyNumberFormat="1" applyFont="1" applyFill="1" applyProtection="1">
      <protection hidden="1"/>
    </xf>
    <xf numFmtId="171" fontId="23" fillId="0" borderId="0" xfId="0" applyNumberFormat="1" applyFont="1" applyAlignment="1" applyProtection="1">
      <alignment horizontal="center"/>
      <protection hidden="1"/>
    </xf>
    <xf numFmtId="49" fontId="23" fillId="0" borderId="0" xfId="156" applyNumberFormat="1" applyFont="1" applyProtection="1">
      <protection hidden="1"/>
    </xf>
    <xf numFmtId="0" fontId="22" fillId="0" borderId="0" xfId="0" applyFont="1" applyProtection="1">
      <protection hidden="1"/>
    </xf>
    <xf numFmtId="0" fontId="16" fillId="0" borderId="0" xfId="0" applyFont="1" applyProtection="1">
      <protection hidden="1"/>
    </xf>
    <xf numFmtId="171" fontId="23" fillId="2" borderId="0" xfId="0" applyNumberFormat="1" applyFont="1" applyFill="1" applyAlignment="1" applyProtection="1">
      <alignment horizontal="center"/>
      <protection hidden="1"/>
    </xf>
    <xf numFmtId="49" fontId="23" fillId="2" borderId="0" xfId="93" applyNumberFormat="1" applyFont="1" applyFill="1" applyAlignment="1" applyProtection="1">
      <alignment horizontal="left"/>
      <protection hidden="1"/>
    </xf>
    <xf numFmtId="49" fontId="23" fillId="2" borderId="0" xfId="93" applyNumberFormat="1" applyFont="1" applyFill="1" applyProtection="1">
      <protection hidden="1"/>
    </xf>
    <xf numFmtId="49" fontId="23" fillId="0" borderId="0" xfId="93" applyNumberFormat="1" applyFont="1" applyProtection="1">
      <protection hidden="1"/>
    </xf>
    <xf numFmtId="49" fontId="23" fillId="2" borderId="4" xfId="0" applyNumberFormat="1" applyFont="1" applyFill="1" applyBorder="1" applyAlignment="1" applyProtection="1">
      <alignment horizontal="center"/>
      <protection hidden="1"/>
    </xf>
    <xf numFmtId="171" fontId="23" fillId="2" borderId="4" xfId="0" applyNumberFormat="1" applyFont="1" applyFill="1" applyBorder="1" applyAlignment="1" applyProtection="1">
      <alignment horizontal="center"/>
      <protection hidden="1"/>
    </xf>
    <xf numFmtId="49" fontId="23" fillId="2" borderId="4" xfId="0" applyNumberFormat="1" applyFont="1" applyFill="1" applyBorder="1" applyProtection="1">
      <protection hidden="1"/>
    </xf>
    <xf numFmtId="49" fontId="23" fillId="0" borderId="0" xfId="0" applyNumberFormat="1" applyFont="1" applyAlignment="1" applyProtection="1">
      <alignment horizontal="center"/>
      <protection hidden="1"/>
    </xf>
    <xf numFmtId="49" fontId="23" fillId="2" borderId="4" xfId="156" applyNumberFormat="1" applyFont="1" applyFill="1" applyBorder="1" applyAlignment="1" applyProtection="1">
      <alignment horizontal="center"/>
      <protection hidden="1"/>
    </xf>
    <xf numFmtId="0" fontId="22" fillId="0" borderId="0" xfId="155" applyFont="1" applyAlignment="1" applyProtection="1">
      <alignment horizontal="center"/>
      <protection hidden="1"/>
    </xf>
    <xf numFmtId="2" fontId="22" fillId="0" borderId="0" xfId="156" applyNumberFormat="1" applyFont="1" applyProtection="1">
      <protection hidden="1"/>
    </xf>
    <xf numFmtId="167" fontId="22" fillId="0" borderId="0" xfId="156" applyNumberFormat="1" applyFont="1" applyProtection="1">
      <protection hidden="1"/>
    </xf>
    <xf numFmtId="167" fontId="16" fillId="0" borderId="0" xfId="0" applyNumberFormat="1" applyFont="1" applyProtection="1">
      <protection hidden="1"/>
    </xf>
    <xf numFmtId="0" fontId="22" fillId="0" borderId="0" xfId="151" applyFont="1" applyProtection="1">
      <protection hidden="1"/>
    </xf>
    <xf numFmtId="0" fontId="16" fillId="0" borderId="0" xfId="0" applyFont="1" applyAlignment="1" applyProtection="1">
      <alignment horizontal="center"/>
      <protection hidden="1"/>
    </xf>
    <xf numFmtId="19" fontId="22" fillId="0" borderId="0" xfId="151" applyNumberFormat="1" applyFont="1" applyProtection="1">
      <protection hidden="1"/>
    </xf>
    <xf numFmtId="19" fontId="16" fillId="0" borderId="0" xfId="0" applyNumberFormat="1" applyFont="1" applyProtection="1">
      <protection hidden="1"/>
    </xf>
    <xf numFmtId="171" fontId="16" fillId="0" borderId="0" xfId="0" applyNumberFormat="1" applyFont="1" applyProtection="1">
      <protection hidden="1"/>
    </xf>
    <xf numFmtId="176" fontId="22" fillId="0" borderId="0" xfId="95" applyNumberFormat="1" applyFont="1" applyProtection="1"/>
    <xf numFmtId="2" fontId="22" fillId="0" borderId="0" xfId="156" applyNumberFormat="1" applyFont="1" applyProtection="1"/>
    <xf numFmtId="167" fontId="22" fillId="0" borderId="0" xfId="156" applyNumberFormat="1" applyFont="1" applyProtection="1"/>
    <xf numFmtId="0" fontId="16" fillId="0" borderId="0" xfId="0" applyFont="1" applyProtection="1"/>
    <xf numFmtId="0" fontId="22" fillId="0" borderId="0" xfId="151" applyFont="1" applyProtection="1"/>
    <xf numFmtId="19" fontId="22" fillId="0" borderId="0" xfId="151" applyNumberFormat="1" applyFont="1" applyProtection="1"/>
    <xf numFmtId="0" fontId="24" fillId="0" borderId="0" xfId="0" applyFont="1" applyProtection="1">
      <protection hidden="1"/>
    </xf>
    <xf numFmtId="169" fontId="16" fillId="0" borderId="0" xfId="0" applyNumberFormat="1" applyFont="1" applyProtection="1">
      <protection hidden="1"/>
    </xf>
    <xf numFmtId="168" fontId="16" fillId="0" borderId="0" xfId="0" applyNumberFormat="1" applyFont="1" applyProtection="1">
      <protection hidden="1"/>
    </xf>
    <xf numFmtId="0" fontId="17" fillId="0" borderId="0" xfId="0" applyFont="1" applyProtection="1">
      <protection hidden="1"/>
    </xf>
    <xf numFmtId="0" fontId="16" fillId="3" borderId="0" xfId="0" applyFont="1" applyFill="1" applyProtection="1">
      <protection hidden="1"/>
    </xf>
    <xf numFmtId="169" fontId="16" fillId="0" borderId="0" xfId="0" applyNumberFormat="1" applyFont="1" applyAlignment="1" applyProtection="1">
      <alignment horizontal="left"/>
      <protection hidden="1"/>
    </xf>
    <xf numFmtId="165" fontId="16" fillId="3" borderId="0" xfId="0" applyNumberFormat="1" applyFont="1" applyFill="1" applyProtection="1">
      <protection hidden="1"/>
    </xf>
    <xf numFmtId="175" fontId="16" fillId="0" borderId="0" xfId="0" applyNumberFormat="1" applyFont="1" applyProtection="1">
      <protection hidden="1"/>
    </xf>
    <xf numFmtId="0" fontId="16" fillId="0" borderId="0" xfId="0" applyFont="1" applyAlignment="1" applyProtection="1">
      <alignment horizontal="right"/>
      <protection hidden="1"/>
    </xf>
    <xf numFmtId="173" fontId="16" fillId="0" borderId="0" xfId="0" applyNumberFormat="1" applyFont="1" applyAlignment="1" applyProtection="1">
      <alignment horizontal="left"/>
      <protection hidden="1"/>
    </xf>
    <xf numFmtId="172" fontId="16" fillId="3" borderId="0" xfId="0" applyNumberFormat="1" applyFont="1" applyFill="1" applyProtection="1">
      <protection hidden="1"/>
    </xf>
    <xf numFmtId="21" fontId="16" fillId="0" borderId="0" xfId="0" applyNumberFormat="1" applyFont="1" applyAlignment="1" applyProtection="1">
      <alignment horizontal="right"/>
      <protection hidden="1"/>
    </xf>
    <xf numFmtId="0" fontId="24" fillId="0" borderId="0" xfId="0" applyFont="1" applyAlignment="1" applyProtection="1">
      <alignment horizontal="left"/>
      <protection hidden="1"/>
    </xf>
    <xf numFmtId="0" fontId="16" fillId="0" borderId="0" xfId="0" applyFont="1" applyAlignment="1" applyProtection="1">
      <alignment horizontal="left"/>
      <protection hidden="1"/>
    </xf>
    <xf numFmtId="168" fontId="24" fillId="0" borderId="0" xfId="0" applyNumberFormat="1" applyFont="1" applyAlignment="1" applyProtection="1">
      <alignment horizontal="left"/>
      <protection hidden="1"/>
    </xf>
    <xf numFmtId="169" fontId="24" fillId="0" borderId="0" xfId="0" applyNumberFormat="1" applyFont="1" applyAlignment="1" applyProtection="1">
      <alignment horizontal="left"/>
      <protection hidden="1"/>
    </xf>
    <xf numFmtId="169" fontId="24" fillId="0" borderId="0" xfId="0" applyNumberFormat="1" applyFont="1" applyProtection="1">
      <protection hidden="1"/>
    </xf>
    <xf numFmtId="49" fontId="23" fillId="0" borderId="2" xfId="0" applyNumberFormat="1" applyFont="1" applyBorder="1" applyProtection="1">
      <protection hidden="1"/>
    </xf>
    <xf numFmtId="0" fontId="24" fillId="3" borderId="10" xfId="0" applyFont="1" applyFill="1" applyBorder="1" applyProtection="1">
      <protection hidden="1"/>
    </xf>
    <xf numFmtId="49" fontId="23" fillId="3" borderId="2" xfId="0" applyNumberFormat="1" applyFont="1" applyFill="1" applyBorder="1" applyProtection="1">
      <protection hidden="1"/>
    </xf>
    <xf numFmtId="21" fontId="16" fillId="0" borderId="0" xfId="0" applyNumberFormat="1" applyFont="1" applyAlignment="1" applyProtection="1">
      <alignment horizontal="center"/>
      <protection hidden="1"/>
    </xf>
    <xf numFmtId="1" fontId="22" fillId="0" borderId="0" xfId="155" applyNumberFormat="1" applyFont="1" applyAlignment="1" applyProtection="1">
      <alignment horizontal="center"/>
      <protection hidden="1"/>
    </xf>
    <xf numFmtId="169" fontId="16" fillId="0" borderId="0" xfId="0" applyNumberFormat="1" applyFont="1" applyAlignment="1" applyProtection="1">
      <alignment horizontal="center"/>
      <protection hidden="1"/>
    </xf>
    <xf numFmtId="2" fontId="16" fillId="0" borderId="22" xfId="0" applyNumberFormat="1" applyFont="1" applyBorder="1" applyProtection="1">
      <protection hidden="1"/>
    </xf>
    <xf numFmtId="2" fontId="16" fillId="0" borderId="11" xfId="0" applyNumberFormat="1" applyFont="1" applyBorder="1" applyProtection="1">
      <protection hidden="1"/>
    </xf>
    <xf numFmtId="2" fontId="16" fillId="0" borderId="3" xfId="0" applyNumberFormat="1" applyFont="1" applyBorder="1" applyProtection="1">
      <protection hidden="1"/>
    </xf>
    <xf numFmtId="2" fontId="16" fillId="0" borderId="5" xfId="0" applyNumberFormat="1" applyFont="1" applyBorder="1" applyProtection="1">
      <protection hidden="1"/>
    </xf>
    <xf numFmtId="168" fontId="16" fillId="0" borderId="0" xfId="0" applyNumberFormat="1" applyFont="1" applyAlignment="1" applyProtection="1">
      <alignment horizontal="center"/>
      <protection hidden="1"/>
    </xf>
    <xf numFmtId="2" fontId="24" fillId="0" borderId="1" xfId="0" applyNumberFormat="1" applyFont="1" applyBorder="1" applyProtection="1">
      <protection hidden="1"/>
    </xf>
    <xf numFmtId="2" fontId="24" fillId="0" borderId="0" xfId="0" applyNumberFormat="1" applyFont="1" applyProtection="1">
      <protection hidden="1"/>
    </xf>
    <xf numFmtId="2" fontId="24" fillId="0" borderId="3" xfId="0" applyNumberFormat="1" applyFont="1" applyBorder="1" applyProtection="1">
      <protection hidden="1"/>
    </xf>
    <xf numFmtId="166" fontId="16" fillId="0" borderId="0" xfId="0" applyNumberFormat="1" applyFont="1" applyProtection="1">
      <protection hidden="1"/>
    </xf>
    <xf numFmtId="167" fontId="16" fillId="0" borderId="0" xfId="0" applyNumberFormat="1" applyFont="1" applyAlignment="1" applyProtection="1">
      <alignment horizontal="center"/>
      <protection hidden="1"/>
    </xf>
    <xf numFmtId="0" fontId="16" fillId="3" borderId="2" xfId="0" applyFont="1" applyFill="1" applyBorder="1" applyAlignment="1" applyProtection="1">
      <alignment horizontal="center" vertical="center"/>
      <protection hidden="1"/>
    </xf>
    <xf numFmtId="167" fontId="24" fillId="3" borderId="2" xfId="0" applyNumberFormat="1" applyFont="1" applyFill="1" applyBorder="1" applyAlignment="1" applyProtection="1">
      <alignment horizontal="center" vertical="center"/>
      <protection hidden="1"/>
    </xf>
    <xf numFmtId="167" fontId="24" fillId="0" borderId="0" xfId="0" applyNumberFormat="1" applyFont="1" applyAlignment="1" applyProtection="1">
      <alignment horizontal="center"/>
      <protection hidden="1"/>
    </xf>
    <xf numFmtId="0" fontId="16" fillId="0" borderId="2" xfId="0" applyFont="1" applyBorder="1" applyAlignment="1" applyProtection="1">
      <alignment horizontal="center" vertical="center"/>
      <protection hidden="1"/>
    </xf>
    <xf numFmtId="2" fontId="16" fillId="0" borderId="2" xfId="0" applyNumberFormat="1" applyFont="1" applyBorder="1" applyAlignment="1" applyProtection="1">
      <alignment horizontal="center" vertical="center"/>
      <protection hidden="1"/>
    </xf>
    <xf numFmtId="170" fontId="16" fillId="0" borderId="2" xfId="0" applyNumberFormat="1" applyFont="1" applyBorder="1" applyAlignment="1" applyProtection="1">
      <alignment horizontal="center" vertical="center"/>
      <protection hidden="1"/>
    </xf>
    <xf numFmtId="167" fontId="16" fillId="0" borderId="2" xfId="0" applyNumberFormat="1" applyFont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19" fillId="0" borderId="0" xfId="0" applyFont="1" applyAlignment="1" applyProtection="1">
      <alignment horizontal="center"/>
      <protection hidden="1"/>
    </xf>
    <xf numFmtId="168" fontId="19" fillId="0" borderId="0" xfId="0" applyNumberFormat="1" applyFont="1" applyAlignment="1" applyProtection="1">
      <alignment horizontal="center"/>
      <protection hidden="1"/>
    </xf>
    <xf numFmtId="168" fontId="19" fillId="0" borderId="0" xfId="0" applyNumberFormat="1" applyFont="1" applyProtection="1">
      <protection hidden="1"/>
    </xf>
    <xf numFmtId="0" fontId="21" fillId="0" borderId="0" xfId="0" applyFont="1" applyProtection="1">
      <protection hidden="1"/>
    </xf>
    <xf numFmtId="169" fontId="19" fillId="0" borderId="0" xfId="0" applyNumberFormat="1" applyFont="1" applyProtection="1">
      <protection hidden="1"/>
    </xf>
    <xf numFmtId="0" fontId="20" fillId="0" borderId="0" xfId="0" applyFont="1" applyProtection="1">
      <protection hidden="1"/>
    </xf>
    <xf numFmtId="167" fontId="16" fillId="0" borderId="22" xfId="0" applyNumberFormat="1" applyFont="1" applyBorder="1" applyProtection="1">
      <protection hidden="1"/>
    </xf>
    <xf numFmtId="167" fontId="16" fillId="0" borderId="11" xfId="0" applyNumberFormat="1" applyFont="1" applyBorder="1" applyProtection="1">
      <protection hidden="1"/>
    </xf>
    <xf numFmtId="167" fontId="16" fillId="0" borderId="3" xfId="0" applyNumberFormat="1" applyFont="1" applyBorder="1" applyProtection="1">
      <protection hidden="1"/>
    </xf>
    <xf numFmtId="167" fontId="16" fillId="0" borderId="5" xfId="0" applyNumberFormat="1" applyFont="1" applyBorder="1" applyProtection="1">
      <protection hidden="1"/>
    </xf>
    <xf numFmtId="167" fontId="24" fillId="0" borderId="1" xfId="0" applyNumberFormat="1" applyFont="1" applyBorder="1" applyProtection="1">
      <protection hidden="1"/>
    </xf>
    <xf numFmtId="167" fontId="24" fillId="0" borderId="3" xfId="0" applyNumberFormat="1" applyFont="1" applyBorder="1" applyProtection="1">
      <protection hidden="1"/>
    </xf>
    <xf numFmtId="0" fontId="24" fillId="3" borderId="2" xfId="0" applyFont="1" applyFill="1" applyBorder="1" applyAlignment="1" applyProtection="1">
      <alignment horizontal="center" vertical="center"/>
      <protection hidden="1"/>
    </xf>
    <xf numFmtId="0" fontId="29" fillId="0" borderId="0" xfId="0" applyFont="1" applyProtection="1">
      <protection hidden="1"/>
    </xf>
    <xf numFmtId="0" fontId="16" fillId="0" borderId="0" xfId="0" applyFont="1" applyAlignment="1" applyProtection="1">
      <alignment wrapText="1"/>
      <protection hidden="1"/>
    </xf>
    <xf numFmtId="0" fontId="16" fillId="2" borderId="0" xfId="0" applyFont="1" applyFill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174" fontId="16" fillId="0" borderId="0" xfId="0" applyNumberFormat="1" applyFont="1" applyAlignment="1" applyProtection="1">
      <alignment horizontal="left" vertical="center"/>
      <protection hidden="1"/>
    </xf>
    <xf numFmtId="0" fontId="16" fillId="3" borderId="0" xfId="0" applyFont="1" applyFill="1" applyAlignment="1" applyProtection="1">
      <alignment vertical="center"/>
      <protection hidden="1"/>
    </xf>
    <xf numFmtId="175" fontId="16" fillId="0" borderId="0" xfId="0" applyNumberFormat="1" applyFont="1" applyAlignment="1" applyProtection="1">
      <alignment vertical="center"/>
      <protection hidden="1"/>
    </xf>
    <xf numFmtId="14" fontId="16" fillId="0" borderId="0" xfId="0" applyNumberFormat="1" applyFont="1" applyAlignment="1" applyProtection="1">
      <alignment vertical="center"/>
      <protection hidden="1"/>
    </xf>
    <xf numFmtId="0" fontId="24" fillId="0" borderId="0" xfId="0" applyFont="1" applyAlignment="1" applyProtection="1">
      <alignment vertical="center"/>
      <protection hidden="1"/>
    </xf>
    <xf numFmtId="0" fontId="24" fillId="3" borderId="2" xfId="0" applyFont="1" applyFill="1" applyBorder="1" applyAlignment="1" applyProtection="1">
      <alignment horizontal="center" vertical="center" wrapText="1"/>
      <protection hidden="1"/>
    </xf>
    <xf numFmtId="2" fontId="24" fillId="3" borderId="2" xfId="0" applyNumberFormat="1" applyFont="1" applyFill="1" applyBorder="1" applyAlignment="1" applyProtection="1">
      <alignment horizontal="center" vertical="center" wrapText="1"/>
      <protection hidden="1"/>
    </xf>
    <xf numFmtId="175" fontId="16" fillId="0" borderId="2" xfId="0" applyNumberFormat="1" applyFont="1" applyBorder="1" applyAlignment="1" applyProtection="1">
      <alignment horizontal="center" vertical="center" wrapText="1"/>
      <protection hidden="1"/>
    </xf>
    <xf numFmtId="2" fontId="26" fillId="0" borderId="18" xfId="0" applyNumberFormat="1" applyFont="1" applyBorder="1" applyAlignment="1" applyProtection="1">
      <alignment horizontal="center" vertical="center" wrapText="1"/>
      <protection hidden="1"/>
    </xf>
    <xf numFmtId="171" fontId="16" fillId="0" borderId="2" xfId="0" applyNumberFormat="1" applyFont="1" applyBorder="1" applyAlignment="1" applyProtection="1">
      <alignment horizontal="center" vertical="center" wrapText="1"/>
      <protection hidden="1"/>
    </xf>
    <xf numFmtId="2" fontId="26" fillId="0" borderId="19" xfId="0" applyNumberFormat="1" applyFont="1" applyBorder="1" applyAlignment="1" applyProtection="1">
      <alignment horizontal="center" vertical="center" wrapText="1"/>
      <protection hidden="1"/>
    </xf>
    <xf numFmtId="171" fontId="16" fillId="0" borderId="0" xfId="0" applyNumberFormat="1" applyFont="1" applyAlignment="1" applyProtection="1">
      <alignment horizontal="center" vertical="center" wrapText="1"/>
      <protection hidden="1"/>
    </xf>
    <xf numFmtId="171" fontId="16" fillId="0" borderId="0" xfId="0" applyNumberFormat="1" applyFont="1" applyAlignment="1" applyProtection="1">
      <alignment vertical="center" wrapText="1"/>
      <protection hidden="1"/>
    </xf>
    <xf numFmtId="2" fontId="26" fillId="0" borderId="0" xfId="0" applyNumberFormat="1" applyFont="1" applyAlignment="1" applyProtection="1">
      <alignment horizontal="center" vertical="center" wrapText="1"/>
      <protection hidden="1"/>
    </xf>
    <xf numFmtId="0" fontId="16" fillId="3" borderId="2" xfId="0" applyFont="1" applyFill="1" applyBorder="1" applyAlignment="1" applyProtection="1">
      <alignment horizontal="center" vertical="center" wrapText="1"/>
      <protection hidden="1"/>
    </xf>
    <xf numFmtId="0" fontId="16" fillId="0" borderId="0" xfId="0" applyFont="1" applyAlignment="1" applyProtection="1">
      <alignment horizontal="center" vertical="center" wrapText="1"/>
      <protection hidden="1"/>
    </xf>
    <xf numFmtId="2" fontId="16" fillId="0" borderId="0" xfId="0" applyNumberFormat="1" applyFont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horizontal="left" vertical="center"/>
      <protection hidden="1"/>
    </xf>
    <xf numFmtId="0" fontId="16" fillId="0" borderId="2" xfId="0" applyFont="1" applyBorder="1" applyAlignment="1" applyProtection="1">
      <alignment horizontal="center" vertical="center" wrapText="1"/>
      <protection hidden="1"/>
    </xf>
    <xf numFmtId="2" fontId="16" fillId="0" borderId="2" xfId="0" applyNumberFormat="1" applyFont="1" applyBorder="1" applyAlignment="1" applyProtection="1">
      <alignment horizontal="center" vertical="center" wrapText="1"/>
      <protection hidden="1"/>
    </xf>
    <xf numFmtId="0" fontId="16" fillId="2" borderId="2" xfId="0" applyFont="1" applyFill="1" applyBorder="1" applyAlignment="1" applyProtection="1">
      <alignment horizontal="center" vertical="center" wrapText="1"/>
      <protection hidden="1"/>
    </xf>
    <xf numFmtId="49" fontId="23" fillId="0" borderId="0" xfId="0" applyNumberFormat="1" applyFont="1" applyProtection="1">
      <protection hidden="1"/>
    </xf>
    <xf numFmtId="0" fontId="16" fillId="0" borderId="0" xfId="0" applyFont="1" applyAlignment="1" applyProtection="1">
      <alignment vertical="center"/>
    </xf>
    <xf numFmtId="173" fontId="16" fillId="0" borderId="0" xfId="0" applyNumberFormat="1" applyFont="1" applyAlignment="1" applyProtection="1">
      <alignment horizontal="left" vertical="center"/>
    </xf>
    <xf numFmtId="174" fontId="16" fillId="0" borderId="0" xfId="0" applyNumberFormat="1" applyFont="1" applyAlignment="1" applyProtection="1">
      <alignment horizontal="left" vertical="center"/>
    </xf>
    <xf numFmtId="0" fontId="16" fillId="0" borderId="2" xfId="0" applyFont="1" applyBorder="1" applyAlignment="1" applyProtection="1">
      <alignment horizontal="center" vertical="center" wrapText="1"/>
    </xf>
    <xf numFmtId="0" fontId="24" fillId="0" borderId="0" xfId="93" applyFont="1" applyAlignment="1" applyProtection="1">
      <alignment horizontal="left" vertical="center"/>
      <protection locked="0"/>
    </xf>
    <xf numFmtId="0" fontId="16" fillId="0" borderId="0" xfId="93" applyFont="1" applyAlignment="1" applyProtection="1">
      <alignment vertical="center"/>
      <protection locked="0"/>
    </xf>
    <xf numFmtId="0" fontId="24" fillId="4" borderId="2" xfId="93" applyFont="1" applyFill="1" applyBorder="1" applyAlignment="1" applyProtection="1">
      <alignment horizontal="center" vertical="center"/>
      <protection locked="0"/>
    </xf>
    <xf numFmtId="2" fontId="24" fillId="0" borderId="2" xfId="93" applyNumberFormat="1" applyFont="1" applyBorder="1" applyAlignment="1" applyProtection="1">
      <alignment horizontal="center" vertical="center" wrapText="1"/>
      <protection hidden="1"/>
    </xf>
    <xf numFmtId="2" fontId="26" fillId="0" borderId="2" xfId="93" applyNumberFormat="1" applyFont="1" applyBorder="1" applyAlignment="1" applyProtection="1">
      <alignment horizontal="center" vertical="center" wrapText="1"/>
      <protection hidden="1"/>
    </xf>
    <xf numFmtId="0" fontId="24" fillId="4" borderId="2" xfId="0" applyFont="1" applyFill="1" applyBorder="1" applyAlignment="1" applyProtection="1">
      <alignment horizontal="center" vertical="center" wrapText="1"/>
      <protection locked="0"/>
    </xf>
    <xf numFmtId="2" fontId="26" fillId="0" borderId="10" xfId="93" applyNumberFormat="1" applyFont="1" applyBorder="1" applyAlignment="1" applyProtection="1">
      <alignment horizontal="center" vertical="center" wrapText="1"/>
      <protection hidden="1"/>
    </xf>
    <xf numFmtId="0" fontId="24" fillId="0" borderId="0" xfId="93" applyFont="1" applyAlignment="1" applyProtection="1">
      <alignment horizontal="center" vertical="center"/>
      <protection locked="0"/>
    </xf>
    <xf numFmtId="49" fontId="26" fillId="0" borderId="0" xfId="93" applyNumberFormat="1" applyFont="1" applyAlignment="1" applyProtection="1">
      <alignment horizontal="center" vertical="center" wrapText="1"/>
      <protection locked="0"/>
    </xf>
    <xf numFmtId="177" fontId="16" fillId="0" borderId="0" xfId="93" applyNumberFormat="1" applyFont="1" applyAlignment="1" applyProtection="1">
      <alignment vertical="center"/>
      <protection locked="0"/>
    </xf>
    <xf numFmtId="0" fontId="16" fillId="5" borderId="0" xfId="93" applyFont="1" applyFill="1" applyAlignment="1" applyProtection="1">
      <alignment vertical="center"/>
      <protection locked="0"/>
    </xf>
    <xf numFmtId="0" fontId="16" fillId="6" borderId="0" xfId="93" applyFont="1" applyFill="1" applyAlignment="1" applyProtection="1">
      <alignment vertical="center"/>
      <protection locked="0"/>
    </xf>
    <xf numFmtId="0" fontId="24" fillId="4" borderId="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6" fillId="7" borderId="0" xfId="0" applyFont="1" applyFill="1" applyProtection="1">
      <protection locked="0"/>
    </xf>
    <xf numFmtId="0" fontId="16" fillId="0" borderId="0" xfId="0" applyFont="1" applyAlignment="1" applyProtection="1">
      <alignment horizontal="left"/>
      <protection locked="0"/>
    </xf>
    <xf numFmtId="0" fontId="16" fillId="8" borderId="0" xfId="0" applyFont="1" applyFill="1" applyProtection="1">
      <protection locked="0"/>
    </xf>
    <xf numFmtId="49" fontId="23" fillId="3" borderId="0" xfId="157" applyNumberFormat="1" applyFont="1" applyFill="1" applyProtection="1">
      <protection hidden="1"/>
    </xf>
    <xf numFmtId="171" fontId="23" fillId="0" borderId="0" xfId="158" applyNumberFormat="1" applyFont="1" applyProtection="1">
      <protection hidden="1"/>
    </xf>
    <xf numFmtId="49" fontId="23" fillId="0" borderId="0" xfId="159" applyNumberFormat="1" applyFont="1" applyProtection="1">
      <protection hidden="1"/>
    </xf>
    <xf numFmtId="0" fontId="16" fillId="0" borderId="0" xfId="55" applyFont="1" applyProtection="1">
      <protection hidden="1"/>
    </xf>
    <xf numFmtId="0" fontId="16" fillId="9" borderId="0" xfId="55" applyFont="1" applyFill="1" applyProtection="1">
      <protection hidden="1"/>
    </xf>
    <xf numFmtId="0" fontId="16" fillId="7" borderId="0" xfId="55" applyFont="1" applyFill="1" applyProtection="1">
      <protection hidden="1"/>
    </xf>
    <xf numFmtId="49" fontId="23" fillId="0" borderId="0" xfId="157" applyNumberFormat="1" applyFont="1" applyAlignment="1" applyProtection="1">
      <alignment horizontal="left"/>
      <protection hidden="1"/>
    </xf>
    <xf numFmtId="171" fontId="23" fillId="0" borderId="0" xfId="158" applyNumberFormat="1" applyFont="1" applyAlignment="1" applyProtection="1">
      <alignment horizontal="left"/>
      <protection hidden="1"/>
    </xf>
    <xf numFmtId="49" fontId="23" fillId="2" borderId="4" xfId="157" applyNumberFormat="1" applyFont="1" applyFill="1" applyBorder="1" applyAlignment="1" applyProtection="1">
      <alignment horizontal="left"/>
      <protection hidden="1"/>
    </xf>
    <xf numFmtId="171" fontId="23" fillId="2" borderId="4" xfId="158" applyNumberFormat="1" applyFont="1" applyFill="1" applyBorder="1" applyAlignment="1" applyProtection="1">
      <alignment horizontal="left"/>
      <protection hidden="1"/>
    </xf>
    <xf numFmtId="49" fontId="23" fillId="2" borderId="4" xfId="96" applyNumberFormat="1" applyFont="1" applyFill="1" applyBorder="1" applyAlignment="1" applyProtection="1">
      <alignment horizontal="left"/>
      <protection hidden="1"/>
    </xf>
    <xf numFmtId="0" fontId="16" fillId="0" borderId="0" xfId="96" applyFont="1" applyAlignment="1">
      <alignment horizontal="center" vertical="center"/>
    </xf>
    <xf numFmtId="178" fontId="16" fillId="9" borderId="0" xfId="96" applyNumberFormat="1" applyFont="1" applyFill="1"/>
    <xf numFmtId="2" fontId="16" fillId="0" borderId="0" xfId="96" applyNumberFormat="1" applyFont="1"/>
    <xf numFmtId="0" fontId="1" fillId="0" borderId="0" xfId="160"/>
    <xf numFmtId="0" fontId="22" fillId="0" borderId="0" xfId="161" applyFont="1" applyProtection="1">
      <protection hidden="1"/>
    </xf>
    <xf numFmtId="19" fontId="22" fillId="0" borderId="0" xfId="162" applyNumberFormat="1" applyFont="1" applyProtection="1">
      <protection hidden="1"/>
    </xf>
    <xf numFmtId="19" fontId="16" fillId="0" borderId="0" xfId="96" applyNumberFormat="1" applyFont="1" applyProtection="1">
      <protection hidden="1"/>
    </xf>
    <xf numFmtId="0" fontId="16" fillId="0" borderId="0" xfId="96" applyFont="1" applyProtection="1">
      <protection hidden="1"/>
    </xf>
    <xf numFmtId="178" fontId="16" fillId="7" borderId="0" xfId="96" applyNumberFormat="1" applyFont="1" applyFill="1"/>
    <xf numFmtId="0" fontId="16" fillId="0" borderId="0" xfId="96" applyFont="1" applyAlignment="1" applyProtection="1">
      <alignment horizontal="center"/>
      <protection hidden="1"/>
    </xf>
    <xf numFmtId="171" fontId="16" fillId="0" borderId="0" xfId="55" applyNumberFormat="1" applyFont="1" applyProtection="1">
      <protection hidden="1"/>
    </xf>
    <xf numFmtId="2" fontId="16" fillId="0" borderId="0" xfId="96" applyNumberFormat="1" applyFont="1" applyFill="1"/>
    <xf numFmtId="0" fontId="16" fillId="0" borderId="0" xfId="55" applyFont="1" applyAlignment="1" applyProtection="1">
      <alignment vertical="center"/>
      <protection hidden="1"/>
    </xf>
    <xf numFmtId="49" fontId="23" fillId="3" borderId="0" xfId="157" applyNumberFormat="1" applyFont="1" applyFill="1" applyAlignment="1" applyProtection="1">
      <alignment wrapText="1"/>
      <protection hidden="1"/>
    </xf>
    <xf numFmtId="49" fontId="23" fillId="2" borderId="0" xfId="159" applyNumberFormat="1" applyFont="1" applyFill="1" applyProtection="1">
      <protection hidden="1"/>
    </xf>
    <xf numFmtId="167" fontId="22" fillId="0" borderId="0" xfId="160" applyNumberFormat="1" applyFont="1"/>
    <xf numFmtId="167" fontId="1" fillId="0" borderId="0" xfId="160" applyNumberFormat="1"/>
    <xf numFmtId="22" fontId="1" fillId="0" borderId="0" xfId="160" applyNumberFormat="1"/>
    <xf numFmtId="167" fontId="22" fillId="0" borderId="0" xfId="160" applyNumberFormat="1" applyFont="1" applyFill="1"/>
    <xf numFmtId="167" fontId="24" fillId="3" borderId="12" xfId="0" applyNumberFormat="1" applyFont="1" applyFill="1" applyBorder="1" applyAlignment="1" applyProtection="1">
      <alignment horizontal="center" vertical="center"/>
      <protection hidden="1"/>
    </xf>
    <xf numFmtId="167" fontId="24" fillId="3" borderId="13" xfId="0" applyNumberFormat="1" applyFont="1" applyFill="1" applyBorder="1" applyAlignment="1" applyProtection="1">
      <alignment horizontal="center" vertical="center"/>
      <protection hidden="1"/>
    </xf>
    <xf numFmtId="167" fontId="24" fillId="3" borderId="14" xfId="0" applyNumberFormat="1" applyFont="1" applyFill="1" applyBorder="1" applyAlignment="1" applyProtection="1">
      <alignment horizontal="center" vertical="center"/>
      <protection hidden="1"/>
    </xf>
    <xf numFmtId="167" fontId="24" fillId="3" borderId="15" xfId="0" applyNumberFormat="1" applyFont="1" applyFill="1" applyBorder="1" applyAlignment="1" applyProtection="1">
      <alignment horizontal="center" vertical="center"/>
      <protection hidden="1"/>
    </xf>
    <xf numFmtId="49" fontId="24" fillId="3" borderId="16" xfId="0" applyNumberFormat="1" applyFont="1" applyFill="1" applyBorder="1" applyAlignment="1" applyProtection="1">
      <alignment horizontal="center" wrapText="1"/>
      <protection hidden="1"/>
    </xf>
    <xf numFmtId="49" fontId="24" fillId="3" borderId="5" xfId="0" applyNumberFormat="1" applyFont="1" applyFill="1" applyBorder="1" applyAlignment="1" applyProtection="1">
      <alignment horizontal="center" wrapText="1"/>
      <protection hidden="1"/>
    </xf>
    <xf numFmtId="0" fontId="16" fillId="3" borderId="6" xfId="0" applyFont="1" applyFill="1" applyBorder="1" applyAlignment="1" applyProtection="1">
      <alignment horizontal="left"/>
      <protection hidden="1"/>
    </xf>
    <xf numFmtId="0" fontId="16" fillId="3" borderId="7" xfId="0" applyFont="1" applyFill="1" applyBorder="1" applyAlignment="1" applyProtection="1">
      <alignment horizontal="left"/>
      <protection hidden="1"/>
    </xf>
    <xf numFmtId="1" fontId="16" fillId="3" borderId="20" xfId="0" applyNumberFormat="1" applyFont="1" applyFill="1" applyBorder="1" applyAlignment="1" applyProtection="1">
      <alignment horizontal="left"/>
      <protection hidden="1"/>
    </xf>
    <xf numFmtId="1" fontId="16" fillId="3" borderId="21" xfId="0" applyNumberFormat="1" applyFont="1" applyFill="1" applyBorder="1" applyAlignment="1" applyProtection="1">
      <alignment horizontal="left"/>
      <protection hidden="1"/>
    </xf>
    <xf numFmtId="0" fontId="16" fillId="3" borderId="23" xfId="0" applyFont="1" applyFill="1" applyBorder="1" applyAlignment="1" applyProtection="1">
      <alignment horizontal="left"/>
      <protection hidden="1"/>
    </xf>
    <xf numFmtId="0" fontId="16" fillId="3" borderId="17" xfId="0" applyFont="1" applyFill="1" applyBorder="1" applyAlignment="1" applyProtection="1">
      <alignment horizontal="left"/>
      <protection hidden="1"/>
    </xf>
    <xf numFmtId="0" fontId="24" fillId="3" borderId="16" xfId="0" applyFont="1" applyFill="1" applyBorder="1" applyAlignment="1" applyProtection="1">
      <alignment horizontal="center" vertical="center" wrapText="1"/>
      <protection hidden="1"/>
    </xf>
    <xf numFmtId="0" fontId="24" fillId="3" borderId="5" xfId="0" applyFont="1" applyFill="1" applyBorder="1" applyAlignment="1" applyProtection="1">
      <alignment horizontal="center" vertical="center" wrapText="1"/>
      <protection hidden="1"/>
    </xf>
    <xf numFmtId="168" fontId="24" fillId="3" borderId="16" xfId="0" applyNumberFormat="1" applyFont="1" applyFill="1" applyBorder="1" applyAlignment="1" applyProtection="1">
      <alignment horizontal="center" vertical="center"/>
      <protection hidden="1"/>
    </xf>
    <xf numFmtId="168" fontId="24" fillId="3" borderId="5" xfId="0" applyNumberFormat="1" applyFont="1" applyFill="1" applyBorder="1" applyAlignment="1" applyProtection="1">
      <alignment horizontal="center" vertical="center"/>
      <protection hidden="1"/>
    </xf>
    <xf numFmtId="0" fontId="24" fillId="3" borderId="16" xfId="0" applyFont="1" applyFill="1" applyBorder="1" applyAlignment="1" applyProtection="1">
      <alignment horizontal="center" vertical="center"/>
      <protection hidden="1"/>
    </xf>
    <xf numFmtId="0" fontId="24" fillId="3" borderId="5" xfId="0" applyFont="1" applyFill="1" applyBorder="1" applyAlignment="1" applyProtection="1">
      <alignment horizontal="center" vertical="center"/>
      <protection hidden="1"/>
    </xf>
    <xf numFmtId="0" fontId="16" fillId="3" borderId="14" xfId="0" applyFont="1" applyFill="1" applyBorder="1" applyAlignment="1" applyProtection="1">
      <alignment horizontal="left"/>
      <protection hidden="1"/>
    </xf>
    <xf numFmtId="0" fontId="16" fillId="3" borderId="15" xfId="0" applyFont="1" applyFill="1" applyBorder="1" applyAlignment="1" applyProtection="1">
      <alignment horizontal="left"/>
      <protection hidden="1"/>
    </xf>
    <xf numFmtId="168" fontId="24" fillId="3" borderId="16" xfId="0" applyNumberFormat="1" applyFont="1" applyFill="1" applyBorder="1" applyAlignment="1" applyProtection="1">
      <alignment horizontal="center" wrapText="1"/>
      <protection hidden="1"/>
    </xf>
    <xf numFmtId="168" fontId="24" fillId="3" borderId="5" xfId="0" applyNumberFormat="1" applyFont="1" applyFill="1" applyBorder="1" applyAlignment="1" applyProtection="1">
      <alignment horizontal="center" wrapText="1"/>
      <protection hidden="1"/>
    </xf>
    <xf numFmtId="0" fontId="16" fillId="3" borderId="24" xfId="0" applyFont="1" applyFill="1" applyBorder="1" applyAlignment="1" applyProtection="1">
      <alignment horizontal="left"/>
      <protection hidden="1"/>
    </xf>
    <xf numFmtId="0" fontId="16" fillId="3" borderId="25" xfId="0" applyFont="1" applyFill="1" applyBorder="1" applyAlignment="1" applyProtection="1">
      <alignment horizontal="left"/>
      <protection hidden="1"/>
    </xf>
    <xf numFmtId="168" fontId="24" fillId="3" borderId="8" xfId="0" applyNumberFormat="1" applyFont="1" applyFill="1" applyBorder="1" applyAlignment="1" applyProtection="1">
      <alignment horizontal="center" vertical="center" wrapText="1"/>
      <protection hidden="1"/>
    </xf>
    <xf numFmtId="168" fontId="24" fillId="3" borderId="9" xfId="0" applyNumberFormat="1" applyFont="1" applyFill="1" applyBorder="1" applyAlignment="1" applyProtection="1">
      <alignment horizontal="center" vertical="center" wrapText="1"/>
      <protection hidden="1"/>
    </xf>
    <xf numFmtId="168" fontId="24" fillId="3" borderId="10" xfId="0" applyNumberFormat="1" applyFont="1" applyFill="1" applyBorder="1" applyAlignment="1" applyProtection="1">
      <alignment horizontal="center" vertical="center" wrapText="1"/>
      <protection hidden="1"/>
    </xf>
    <xf numFmtId="0" fontId="24" fillId="0" borderId="16" xfId="0" applyFont="1" applyBorder="1" applyAlignment="1" applyProtection="1">
      <alignment horizontal="center" wrapText="1"/>
      <protection hidden="1"/>
    </xf>
    <xf numFmtId="0" fontId="24" fillId="0" borderId="5" xfId="0" applyFont="1" applyBorder="1" applyAlignment="1" applyProtection="1">
      <alignment horizontal="center" wrapText="1"/>
      <protection hidden="1"/>
    </xf>
    <xf numFmtId="49" fontId="24" fillId="3" borderId="8" xfId="0" applyNumberFormat="1" applyFont="1" applyFill="1" applyBorder="1" applyAlignment="1" applyProtection="1">
      <alignment horizontal="left"/>
      <protection hidden="1"/>
    </xf>
    <xf numFmtId="49" fontId="24" fillId="3" borderId="9" xfId="0" applyNumberFormat="1" applyFont="1" applyFill="1" applyBorder="1" applyAlignment="1" applyProtection="1">
      <alignment horizontal="left"/>
      <protection hidden="1"/>
    </xf>
    <xf numFmtId="49" fontId="24" fillId="3" borderId="10" xfId="0" applyNumberFormat="1" applyFont="1" applyFill="1" applyBorder="1" applyAlignment="1" applyProtection="1">
      <alignment horizontal="left"/>
      <protection hidden="1"/>
    </xf>
    <xf numFmtId="0" fontId="24" fillId="3" borderId="8" xfId="0" applyFont="1" applyFill="1" applyBorder="1" applyAlignment="1" applyProtection="1">
      <alignment horizontal="left"/>
      <protection hidden="1"/>
    </xf>
    <xf numFmtId="0" fontId="24" fillId="3" borderId="9" xfId="0" applyFont="1" applyFill="1" applyBorder="1" applyAlignment="1" applyProtection="1">
      <alignment horizontal="left"/>
      <protection hidden="1"/>
    </xf>
    <xf numFmtId="0" fontId="24" fillId="4" borderId="2" xfId="0" applyFont="1" applyFill="1" applyBorder="1" applyAlignment="1" applyProtection="1">
      <alignment horizontal="center" vertical="center" wrapText="1"/>
      <protection locked="0"/>
    </xf>
    <xf numFmtId="179" fontId="16" fillId="0" borderId="2" xfId="0" applyNumberFormat="1" applyFont="1" applyBorder="1" applyAlignment="1" applyProtection="1">
      <alignment horizontal="center" vertical="center"/>
      <protection hidden="1"/>
    </xf>
    <xf numFmtId="0" fontId="24" fillId="4" borderId="2" xfId="93" applyFont="1" applyFill="1" applyBorder="1" applyAlignment="1" applyProtection="1">
      <alignment horizontal="center" vertical="center" wrapText="1"/>
      <protection locked="0"/>
    </xf>
    <xf numFmtId="177" fontId="16" fillId="0" borderId="2" xfId="93" applyNumberFormat="1" applyFont="1" applyBorder="1" applyAlignment="1" applyProtection="1">
      <alignment horizontal="center" vertical="center"/>
      <protection hidden="1"/>
    </xf>
    <xf numFmtId="0" fontId="16" fillId="3" borderId="16" xfId="0" applyFont="1" applyFill="1" applyBorder="1" applyAlignment="1" applyProtection="1">
      <alignment horizontal="center" vertical="center" wrapText="1"/>
      <protection hidden="1"/>
    </xf>
    <xf numFmtId="0" fontId="16" fillId="3" borderId="5" xfId="0" applyFont="1" applyFill="1" applyBorder="1" applyAlignment="1" applyProtection="1">
      <alignment horizontal="center" vertical="center" wrapText="1"/>
      <protection hidden="1"/>
    </xf>
    <xf numFmtId="0" fontId="16" fillId="3" borderId="2" xfId="0" applyFont="1" applyFill="1" applyBorder="1" applyAlignment="1" applyProtection="1">
      <alignment horizontal="center" vertical="center" wrapText="1"/>
      <protection hidden="1"/>
    </xf>
    <xf numFmtId="2" fontId="16" fillId="0" borderId="2" xfId="0" applyNumberFormat="1" applyFont="1" applyBorder="1" applyAlignment="1" applyProtection="1">
      <alignment horizontal="center" vertical="center"/>
      <protection hidden="1"/>
    </xf>
    <xf numFmtId="167" fontId="16" fillId="0" borderId="2" xfId="0" applyNumberFormat="1" applyFont="1" applyBorder="1" applyAlignment="1" applyProtection="1">
      <alignment horizontal="center" vertical="center"/>
      <protection hidden="1"/>
    </xf>
    <xf numFmtId="0" fontId="24" fillId="3" borderId="2" xfId="0" applyFont="1" applyFill="1" applyBorder="1" applyAlignment="1" applyProtection="1">
      <alignment horizontal="center" vertical="center" wrapText="1"/>
      <protection hidden="1"/>
    </xf>
    <xf numFmtId="0" fontId="16" fillId="3" borderId="2" xfId="0" applyFont="1" applyFill="1" applyBorder="1" applyAlignment="1" applyProtection="1">
      <alignment horizontal="center" vertical="center"/>
      <protection hidden="1"/>
    </xf>
    <xf numFmtId="171" fontId="24" fillId="0" borderId="16" xfId="0" applyNumberFormat="1" applyFont="1" applyBorder="1" applyAlignment="1" applyProtection="1">
      <alignment horizontal="center" vertical="center" wrapText="1"/>
      <protection hidden="1"/>
    </xf>
    <xf numFmtId="171" fontId="24" fillId="0" borderId="5" xfId="0" applyNumberFormat="1" applyFont="1" applyBorder="1" applyAlignment="1" applyProtection="1">
      <alignment horizontal="center" vertical="center" wrapText="1"/>
      <protection hidden="1"/>
    </xf>
    <xf numFmtId="0" fontId="24" fillId="3" borderId="2" xfId="0" applyFont="1" applyFill="1" applyBorder="1" applyAlignment="1" applyProtection="1">
      <alignment horizontal="center" vertical="center"/>
      <protection hidden="1"/>
    </xf>
    <xf numFmtId="2" fontId="26" fillId="0" borderId="16" xfId="0" applyNumberFormat="1" applyFont="1" applyBorder="1" applyAlignment="1" applyProtection="1">
      <alignment horizontal="center" vertical="center" wrapText="1"/>
      <protection hidden="1"/>
    </xf>
    <xf numFmtId="2" fontId="26" fillId="0" borderId="5" xfId="0" applyNumberFormat="1" applyFont="1" applyBorder="1" applyAlignment="1" applyProtection="1">
      <alignment horizontal="center" vertical="center" wrapText="1"/>
      <protection hidden="1"/>
    </xf>
  </cellXfs>
  <cellStyles count="163">
    <cellStyle name="Millares 2" xfId="1"/>
    <cellStyle name="Millares 2 2" xfId="29"/>
    <cellStyle name="Millares 3" xfId="2"/>
    <cellStyle name="Millares 3 2" xfId="30"/>
    <cellStyle name="Millares 4" xfId="3"/>
    <cellStyle name="Millares 4 2" xfId="31"/>
    <cellStyle name="Millares 5" xfId="4"/>
    <cellStyle name="Millares 5 2" xfId="32"/>
    <cellStyle name="Millares 6" xfId="33"/>
    <cellStyle name="Millares 6 2" xfId="34"/>
    <cellStyle name="Millares 7" xfId="35"/>
    <cellStyle name="Millares 7 2" xfId="36"/>
    <cellStyle name="Millares 8" xfId="37"/>
    <cellStyle name="Millares 9" xfId="148"/>
    <cellStyle name="Normal" xfId="0" builtinId="0"/>
    <cellStyle name="Normal 10" xfId="76"/>
    <cellStyle name="Normal 10 2" xfId="5"/>
    <cellStyle name="Normal 10 2 2" xfId="38"/>
    <cellStyle name="Normal 10 2 2 2" xfId="39"/>
    <cellStyle name="Normal 10 2 2 2 2" xfId="149"/>
    <cellStyle name="Normal 10 2 2 2 2 2" xfId="159"/>
    <cellStyle name="Normal 10 2 2 2 3" xfId="105"/>
    <cellStyle name="Normal 10 2 2 3" xfId="100"/>
    <cellStyle name="Normal 10 2 3" xfId="40"/>
    <cellStyle name="Normal 10 2 3 2" xfId="74"/>
    <cellStyle name="Normal 10 2 3 2 2" xfId="146"/>
    <cellStyle name="Normal 10 2 3 2 3" xfId="157"/>
    <cellStyle name="Normal 10 2 3 3" xfId="103"/>
    <cellStyle name="Normal 10 2 4" xfId="101"/>
    <cellStyle name="Normal 10 3" xfId="144"/>
    <cellStyle name="Normal 11" xfId="77"/>
    <cellStyle name="Normal 11 2" xfId="6"/>
    <cellStyle name="Normal 11 2 2" xfId="41"/>
    <cellStyle name="Normal 11 2 2 2" xfId="107"/>
    <cellStyle name="Normal 11 2 3" xfId="106"/>
    <cellStyle name="Normal 11 3" xfId="147"/>
    <cellStyle name="Normal 12" xfId="91"/>
    <cellStyle name="Normal 12 2" xfId="145"/>
    <cellStyle name="Normal 13" xfId="92"/>
    <cellStyle name="Normal 13 2" xfId="96"/>
    <cellStyle name="Normal 14" xfId="90"/>
    <cellStyle name="Normal 14 2" xfId="150"/>
    <cellStyle name="Normal 15" xfId="94"/>
    <cellStyle name="Normal 16" xfId="93"/>
    <cellStyle name="Normal 17" xfId="95"/>
    <cellStyle name="Normal 18" xfId="151"/>
    <cellStyle name="Normal 19" xfId="152"/>
    <cellStyle name="Normal 2" xfId="7"/>
    <cellStyle name="Normal 2 2" xfId="8"/>
    <cellStyle name="Normal 2 2 2" xfId="9"/>
    <cellStyle name="Normal 2 2 2 2" xfId="10"/>
    <cellStyle name="Normal 2 2 2 2 2" xfId="11"/>
    <cellStyle name="Normal 2 2 2 2 2 2" xfId="42"/>
    <cellStyle name="Normal 2 2 2 2 2 2 2" xfId="110"/>
    <cellStyle name="Normal 2 2 2 2 2 3" xfId="109"/>
    <cellStyle name="Normal 2 2 2 2 3" xfId="43"/>
    <cellStyle name="Normal 2 2 2 3" xfId="12"/>
    <cellStyle name="Normal 2 2 2 3 2" xfId="44"/>
    <cellStyle name="Normal 2 2 2 3 2 2" xfId="112"/>
    <cellStyle name="Normal 2 2 2 3 3" xfId="111"/>
    <cellStyle name="Normal 2 2 2 4" xfId="13"/>
    <cellStyle name="Normal 2 2 2 4 2" xfId="45"/>
    <cellStyle name="Normal 2 2 2 4 2 2" xfId="114"/>
    <cellStyle name="Normal 2 2 2 4 3" xfId="113"/>
    <cellStyle name="Normal 2 2 2 5" xfId="46"/>
    <cellStyle name="Normal 2 2 2 5 2" xfId="115"/>
    <cellStyle name="Normal 2 2 2 6" xfId="108"/>
    <cellStyle name="Normal 2 2 3" xfId="14"/>
    <cellStyle name="Normal 2 2 3 2" xfId="15"/>
    <cellStyle name="Normal 2 2 3 2 2" xfId="47"/>
    <cellStyle name="Normal 2 2 3 3" xfId="48"/>
    <cellStyle name="Normal 2 2 3 3 2" xfId="117"/>
    <cellStyle name="Normal 2 2 3 4" xfId="116"/>
    <cellStyle name="Normal 2 2 4" xfId="16"/>
    <cellStyle name="Normal 2 2 4 2" xfId="49"/>
    <cellStyle name="Normal 2 2 5" xfId="50"/>
    <cellStyle name="Normal 2 2 6" xfId="78"/>
    <cellStyle name="Normal 2 3" xfId="17"/>
    <cellStyle name="Normal 2 3 2" xfId="51"/>
    <cellStyle name="Normal 2 3 2 2" xfId="119"/>
    <cellStyle name="Normal 2 3 3" xfId="118"/>
    <cellStyle name="Normal 2 4" xfId="18"/>
    <cellStyle name="Normal 2 4 2" xfId="52"/>
    <cellStyle name="Normal 2 4 2 2" xfId="121"/>
    <cellStyle name="Normal 2 4 3" xfId="120"/>
    <cellStyle name="Normal 2 5" xfId="19"/>
    <cellStyle name="Normal 2 5 2" xfId="53"/>
    <cellStyle name="Normal 2 5 2 2" xfId="123"/>
    <cellStyle name="Normal 2 5 3" xfId="122"/>
    <cellStyle name="Normal 2 6" xfId="54"/>
    <cellStyle name="Normal 2 6 2" xfId="124"/>
    <cellStyle name="Normal 2 7" xfId="55"/>
    <cellStyle name="Normal 2 8" xfId="97"/>
    <cellStyle name="Normal 20" xfId="153"/>
    <cellStyle name="Normal 21" xfId="154"/>
    <cellStyle name="Normal 21 2" xfId="162"/>
    <cellStyle name="Normal 22" xfId="155"/>
    <cellStyle name="Normal 22 2" xfId="161"/>
    <cellStyle name="Normal 23" xfId="156"/>
    <cellStyle name="Normal 25" xfId="160"/>
    <cellStyle name="Normal 3" xfId="56"/>
    <cellStyle name="Normal 3 2" xfId="20"/>
    <cellStyle name="Normal 3 2 2" xfId="57"/>
    <cellStyle name="Normal 3 2 2 2" xfId="126"/>
    <cellStyle name="Normal 3 2 3" xfId="125"/>
    <cellStyle name="Normal 3 3" xfId="21"/>
    <cellStyle name="Normal 3 3 2" xfId="58"/>
    <cellStyle name="Normal 3 4" xfId="59"/>
    <cellStyle name="Normal 3 4 2" xfId="104"/>
    <cellStyle name="Normal 3 5" xfId="79"/>
    <cellStyle name="Normal 3 6" xfId="98"/>
    <cellStyle name="Normal 4" xfId="60"/>
    <cellStyle name="Normal 4 2" xfId="22"/>
    <cellStyle name="Normal 4 2 2" xfId="61"/>
    <cellStyle name="Normal 4 3" xfId="23"/>
    <cellStyle name="Normal 4 3 2" xfId="62"/>
    <cellStyle name="Normal 4 3 2 2" xfId="128"/>
    <cellStyle name="Normal 4 3 3" xfId="127"/>
    <cellStyle name="Normal 4 4" xfId="63"/>
    <cellStyle name="Normal 4 4 2" xfId="129"/>
    <cellStyle name="Normal 4 5" xfId="80"/>
    <cellStyle name="Normal 4 6" xfId="75"/>
    <cellStyle name="Normal 4 6 2" xfId="143"/>
    <cellStyle name="Normal 4 6 3" xfId="158"/>
    <cellStyle name="Normal 4 7" xfId="99"/>
    <cellStyle name="Normal 5" xfId="64"/>
    <cellStyle name="Normal 5 2" xfId="24"/>
    <cellStyle name="Normal 5 2 2" xfId="65"/>
    <cellStyle name="Normal 5 2 2 2" xfId="131"/>
    <cellStyle name="Normal 5 2 3" xfId="130"/>
    <cellStyle name="Normal 5 3" xfId="66"/>
    <cellStyle name="Normal 5 3 2" xfId="132"/>
    <cellStyle name="Normal 5 4" xfId="102"/>
    <cellStyle name="Normal 6" xfId="25"/>
    <cellStyle name="Normal 6 2" xfId="67"/>
    <cellStyle name="Normal 6 2 2" xfId="134"/>
    <cellStyle name="Normal 6 3" xfId="81"/>
    <cellStyle name="Normal 6 4" xfId="82"/>
    <cellStyle name="Normal 6 5" xfId="83"/>
    <cellStyle name="Normal 6 6" xfId="84"/>
    <cellStyle name="Normal 6 7" xfId="133"/>
    <cellStyle name="Normal 7" xfId="68"/>
    <cellStyle name="Normal 7 2" xfId="69"/>
    <cellStyle name="Normal 7 2 2" xfId="136"/>
    <cellStyle name="Normal 7 3" xfId="85"/>
    <cellStyle name="Normal 7 4" xfId="86"/>
    <cellStyle name="Normal 7 5" xfId="87"/>
    <cellStyle name="Normal 7 6" xfId="88"/>
    <cellStyle name="Normal 7 7" xfId="135"/>
    <cellStyle name="Normal 8" xfId="70"/>
    <cellStyle name="Normal 8 2" xfId="26"/>
    <cellStyle name="Normal 8 2 2" xfId="71"/>
    <cellStyle name="Normal 8 2 2 2" xfId="139"/>
    <cellStyle name="Normal 8 2 3" xfId="138"/>
    <cellStyle name="Normal 8 3" xfId="72"/>
    <cellStyle name="Normal 8 3 2" xfId="140"/>
    <cellStyle name="Normal 8 4" xfId="137"/>
    <cellStyle name="Normal 9" xfId="28"/>
    <cellStyle name="Normal 9 2" xfId="27"/>
    <cellStyle name="Normal 9 2 2" xfId="73"/>
    <cellStyle name="Normal 9 2 2 2" xfId="142"/>
    <cellStyle name="Normal 9 2 3" xfId="141"/>
    <cellStyle name="Normal 9 3" xfId="89"/>
  </cellStyles>
  <dxfs count="9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3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worksheet" Target="worksheets/sheet7.xml"/><Relationship Id="rId5" Type="http://schemas.openxmlformats.org/officeDocument/2006/relationships/worksheet" Target="worksheets/sheet4.xml"/><Relationship Id="rId15" Type="http://schemas.openxmlformats.org/officeDocument/2006/relationships/sharedStrings" Target="sharedStrings.xml"/><Relationship Id="rId10" Type="http://schemas.openxmlformats.org/officeDocument/2006/relationships/chartsheet" Target="chartsheets/sheet4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6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05122625487574E-2"/>
          <c:y val="0.28782708849811395"/>
          <c:w val="0.8565144007387534"/>
          <c:h val="0.4511537852221979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T!$D$14</c:f>
              <c:strCache>
                <c:ptCount val="1"/>
                <c:pt idx="0">
                  <c:v>Posición 1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T!$C$17:$C$305</c:f>
              <c:numCache>
                <c:formatCode>dd/mm/yyyy\ hh:mm\ AM/PM</c:formatCode>
                <c:ptCount val="2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xVal>
          <c:yVal>
            <c:numRef>
              <c:f>T!$D$17:$D$305</c:f>
              <c:numCache>
                <c:formatCode>0.00</c:formatCode>
                <c:ptCount val="2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11-4D66-B4D7-9F24CEC3B7E4}"/>
            </c:ext>
          </c:extLst>
        </c:ser>
        <c:ser>
          <c:idx val="1"/>
          <c:order val="1"/>
          <c:tx>
            <c:strRef>
              <c:f>T!$E$14</c:f>
              <c:strCache>
                <c:ptCount val="1"/>
                <c:pt idx="0">
                  <c:v>Posición 2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T!$C$17:$C$305</c:f>
              <c:numCache>
                <c:formatCode>dd/mm/yyyy\ hh:mm\ AM/PM</c:formatCode>
                <c:ptCount val="2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xVal>
          <c:yVal>
            <c:numRef>
              <c:f>T!$E$17:$E$305</c:f>
              <c:numCache>
                <c:formatCode>0.00</c:formatCode>
                <c:ptCount val="2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11-4D66-B4D7-9F24CEC3B7E4}"/>
            </c:ext>
          </c:extLst>
        </c:ser>
        <c:ser>
          <c:idx val="2"/>
          <c:order val="2"/>
          <c:tx>
            <c:strRef>
              <c:f>T!$F$14</c:f>
              <c:strCache>
                <c:ptCount val="1"/>
                <c:pt idx="0">
                  <c:v>Posición 3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T!$C$17:$C$305</c:f>
              <c:numCache>
                <c:formatCode>dd/mm/yyyy\ hh:mm\ AM/PM</c:formatCode>
                <c:ptCount val="2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xVal>
          <c:yVal>
            <c:numRef>
              <c:f>T!$F$17:$F$305</c:f>
              <c:numCache>
                <c:formatCode>0.00</c:formatCode>
                <c:ptCount val="2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911-4D66-B4D7-9F24CEC3B7E4}"/>
            </c:ext>
          </c:extLst>
        </c:ser>
        <c:ser>
          <c:idx val="3"/>
          <c:order val="3"/>
          <c:tx>
            <c:strRef>
              <c:f>T!$G$14</c:f>
              <c:strCache>
                <c:ptCount val="1"/>
                <c:pt idx="0">
                  <c:v>Posición 4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T!$C$17:$C$305</c:f>
              <c:numCache>
                <c:formatCode>dd/mm/yyyy\ hh:mm\ AM/PM</c:formatCode>
                <c:ptCount val="2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xVal>
          <c:yVal>
            <c:numRef>
              <c:f>T!$G$17:$G$305</c:f>
              <c:numCache>
                <c:formatCode>0.00</c:formatCode>
                <c:ptCount val="2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911-4D66-B4D7-9F24CEC3B7E4}"/>
            </c:ext>
          </c:extLst>
        </c:ser>
        <c:ser>
          <c:idx val="4"/>
          <c:order val="4"/>
          <c:tx>
            <c:strRef>
              <c:f>T!$H$14</c:f>
              <c:strCache>
                <c:ptCount val="1"/>
                <c:pt idx="0">
                  <c:v>Posición 5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T!$C$17:$C$305</c:f>
              <c:numCache>
                <c:formatCode>dd/mm/yyyy\ hh:mm\ AM/PM</c:formatCode>
                <c:ptCount val="2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xVal>
          <c:yVal>
            <c:numRef>
              <c:f>T!$H$17:$H$305</c:f>
              <c:numCache>
                <c:formatCode>0.00</c:formatCode>
                <c:ptCount val="2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911-4D66-B4D7-9F24CEC3B7E4}"/>
            </c:ext>
          </c:extLst>
        </c:ser>
        <c:ser>
          <c:idx val="5"/>
          <c:order val="5"/>
          <c:tx>
            <c:strRef>
              <c:f>T!$I$14</c:f>
              <c:strCache>
                <c:ptCount val="1"/>
                <c:pt idx="0">
                  <c:v>Posición 6</c:v>
                </c:pt>
              </c:strCache>
            </c:strRef>
          </c:tx>
          <c:spPr>
            <a:ln w="2857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T!$C$17:$C$305</c:f>
              <c:numCache>
                <c:formatCode>dd/mm/yyyy\ hh:mm\ AM/PM</c:formatCode>
                <c:ptCount val="2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xVal>
          <c:yVal>
            <c:numRef>
              <c:f>T!$I$17:$I$305</c:f>
              <c:numCache>
                <c:formatCode>0.00</c:formatCode>
                <c:ptCount val="2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911-4D66-B4D7-9F24CEC3B7E4}"/>
            </c:ext>
          </c:extLst>
        </c:ser>
        <c:ser>
          <c:idx val="6"/>
          <c:order val="6"/>
          <c:tx>
            <c:strRef>
              <c:f>T!$J$14</c:f>
              <c:strCache>
                <c:ptCount val="1"/>
                <c:pt idx="0">
                  <c:v>Posición 7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T!$C$17:$C$305</c:f>
              <c:numCache>
                <c:formatCode>dd/mm/yyyy\ hh:mm\ AM/PM</c:formatCode>
                <c:ptCount val="2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xVal>
          <c:yVal>
            <c:numRef>
              <c:f>T!$J$17:$J$305</c:f>
              <c:numCache>
                <c:formatCode>0.00</c:formatCode>
                <c:ptCount val="2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08-45EE-860B-D9C081CF4779}"/>
            </c:ext>
          </c:extLst>
        </c:ser>
        <c:ser>
          <c:idx val="7"/>
          <c:order val="7"/>
          <c:tx>
            <c:strRef>
              <c:f>T!$K$14</c:f>
              <c:strCache>
                <c:ptCount val="1"/>
                <c:pt idx="0">
                  <c:v>Posición 8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T!$C$17:$C$305</c:f>
              <c:numCache>
                <c:formatCode>dd/mm/yyyy\ hh:mm\ AM/PM</c:formatCode>
                <c:ptCount val="2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xVal>
          <c:yVal>
            <c:numRef>
              <c:f>T!$K$17:$K$305</c:f>
              <c:numCache>
                <c:formatCode>0.00</c:formatCode>
                <c:ptCount val="2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46-48B4-AEF0-B31F65B9F945}"/>
            </c:ext>
          </c:extLst>
        </c:ser>
        <c:ser>
          <c:idx val="8"/>
          <c:order val="8"/>
          <c:tx>
            <c:strRef>
              <c:f>T!$L$14</c:f>
              <c:strCache>
                <c:ptCount val="1"/>
                <c:pt idx="0">
                  <c:v>Posición 9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T!$C$17:$C$305</c:f>
              <c:numCache>
                <c:formatCode>dd/mm/yyyy\ hh:mm\ AM/PM</c:formatCode>
                <c:ptCount val="2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xVal>
          <c:yVal>
            <c:numRef>
              <c:f>T!$L$17:$L$305</c:f>
              <c:numCache>
                <c:formatCode>0.00</c:formatCode>
                <c:ptCount val="2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46-48B4-AEF0-B31F65B9F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9766304"/>
        <c:axId val="-89767392"/>
      </c:scatterChart>
      <c:valAx>
        <c:axId val="-89766304"/>
        <c:scaling>
          <c:orientation val="minMax"/>
        </c:scaling>
        <c:delete val="0"/>
        <c:axPos val="b"/>
        <c:min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Tiempo acumulado(hh:mm:ss)</a:t>
                </a:r>
              </a:p>
            </c:rich>
          </c:tx>
          <c:layout>
            <c:manualLayout>
              <c:xMode val="edge"/>
              <c:yMode val="edge"/>
              <c:x val="0.40133776490104917"/>
              <c:y val="0.94926331533885777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s-CO"/>
            </a:p>
          </c:txPr>
        </c:title>
        <c:numFmt formatCode="dd/mm/yyyy\ hh:mm\ AM/PM" sourceLinked="0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-89767392"/>
        <c:crosses val="autoZero"/>
        <c:crossBetween val="midCat"/>
      </c:valAx>
      <c:valAx>
        <c:axId val="-89767392"/>
        <c:scaling>
          <c:orientation val="minMax"/>
          <c:max val="44"/>
          <c:min val="37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 (ºC)</a:t>
                </a:r>
              </a:p>
            </c:rich>
          </c:tx>
          <c:layout>
            <c:manualLayout>
              <c:xMode val="edge"/>
              <c:yMode val="edge"/>
              <c:x val="6.6889413304049164E-3"/>
              <c:y val="0.3797053261355432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s-CO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-89766304"/>
        <c:crosses val="autoZero"/>
        <c:crossBetween val="midCat"/>
      </c:valAx>
      <c:spPr>
        <a:noFill/>
        <a:ln w="3175">
          <a:solidFill>
            <a:srgbClr val="000000"/>
          </a:solidFill>
          <a:prstDash val="solid"/>
        </a:ln>
        <a:effectLst/>
      </c:spPr>
    </c:plotArea>
    <c:legend>
      <c:legendPos val="r"/>
      <c:layout>
        <c:manualLayout>
          <c:xMode val="edge"/>
          <c:yMode val="edge"/>
          <c:x val="0.53341618091301291"/>
          <c:y val="4.5949998501410808E-2"/>
          <c:w val="0.39407179540959153"/>
          <c:h val="0.1825321019211913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098717959922065E-2"/>
          <c:y val="0.27023930328447937"/>
          <c:w val="0.85618729096989965"/>
          <c:h val="0.49502982107355875"/>
        </c:manualLayout>
      </c:layout>
      <c:scatterChart>
        <c:scatterStyle val="smoothMarker"/>
        <c:varyColors val="0"/>
        <c:ser>
          <c:idx val="3"/>
          <c:order val="0"/>
          <c:tx>
            <c:strRef>
              <c:f>'Fallas Tem'!$G$2</c:f>
              <c:strCache>
                <c:ptCount val="1"/>
                <c:pt idx="0">
                  <c:v>Corte de energía</c:v>
                </c:pt>
              </c:strCache>
            </c:strRef>
          </c:tx>
          <c:spPr>
            <a:ln w="25400" cap="flat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'Fallas Tem'!$B$7:$B$36</c:f>
              <c:numCache>
                <c:formatCode>d/mm/yyyy\ h:mm:ss\ AM/PM</c:formatCode>
                <c:ptCount val="30"/>
              </c:numCache>
            </c:numRef>
          </c:xVal>
          <c:yVal>
            <c:numRef>
              <c:f>'Fallas Tem'!$C$7:$C$36</c:f>
              <c:numCache>
                <c:formatCode>0.00</c:formatCode>
                <c:ptCount val="3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1D-4F3B-A564-D5097A938D56}"/>
            </c:ext>
          </c:extLst>
        </c:ser>
        <c:ser>
          <c:idx val="0"/>
          <c:order val="1"/>
          <c:tx>
            <c:strRef>
              <c:f>'Fallas Tem'!$G$3</c:f>
              <c:strCache>
                <c:ptCount val="1"/>
                <c:pt idx="0">
                  <c:v>Recuperación</c:v>
                </c:pt>
              </c:strCache>
            </c:strRef>
          </c:tx>
          <c:spPr>
            <a:ln w="28575" cap="rnd" cmpd="sng" algn="ctr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'Fallas Tem'!$B$36:$B$66</c:f>
              <c:numCache>
                <c:formatCode>d/mm/yyyy\ h:mm:ss\ AM/PM</c:formatCode>
                <c:ptCount val="31"/>
              </c:numCache>
            </c:numRef>
          </c:xVal>
          <c:yVal>
            <c:numRef>
              <c:f>'Fallas Tem'!$C$36:$C$66</c:f>
              <c:numCache>
                <c:formatCode>0.00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1D-4F3B-A564-D5097A938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9757600"/>
        <c:axId val="-89760864"/>
      </c:scatterChart>
      <c:valAx>
        <c:axId val="-89757600"/>
        <c:scaling>
          <c:orientation val="minMax"/>
        </c:scaling>
        <c:delete val="0"/>
        <c:axPos val="b"/>
        <c:min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Tiempo acumulado(hh:mm:ss)</a:t>
                </a:r>
              </a:p>
            </c:rich>
          </c:tx>
          <c:layout>
            <c:manualLayout>
              <c:xMode val="edge"/>
              <c:yMode val="edge"/>
              <c:x val="0.40133791267212571"/>
              <c:y val="0.96883910718338018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s-CO"/>
            </a:p>
          </c:txPr>
        </c:title>
        <c:numFmt formatCode="dd/mm/yyyy\ hh:mm\ AM/PM" sourceLinked="0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-89760864"/>
        <c:crosses val="autoZero"/>
        <c:crossBetween val="midCat"/>
      </c:valAx>
      <c:valAx>
        <c:axId val="-89760864"/>
        <c:scaling>
          <c:orientation val="minMax"/>
          <c:max val="40"/>
          <c:min val="35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Temperatura (°C)</a:t>
                </a:r>
              </a:p>
            </c:rich>
          </c:tx>
          <c:layout>
            <c:manualLayout>
              <c:xMode val="edge"/>
              <c:yMode val="edge"/>
              <c:x val="6.6890524271390316E-3"/>
              <c:y val="0.3797053261355432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s-CO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-89757600"/>
        <c:crosses val="autoZero"/>
        <c:crossBetween val="midCat"/>
      </c:valAx>
      <c:spPr>
        <a:noFill/>
        <a:ln w="3175">
          <a:solidFill>
            <a:srgbClr val="000000"/>
          </a:solidFill>
          <a:prstDash val="solid"/>
        </a:ln>
        <a:effectLst/>
      </c:spPr>
    </c:plotArea>
    <c:legend>
      <c:legendPos val="r"/>
      <c:layout>
        <c:manualLayout>
          <c:xMode val="edge"/>
          <c:yMode val="edge"/>
          <c:x val="0.6434858905677856"/>
          <c:y val="6.4376137322149571E-2"/>
          <c:w val="0.15262525569535124"/>
          <c:h val="0.1295426749666762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05122625487574E-2"/>
          <c:y val="0.28347689817728733"/>
          <c:w val="0.87723214285714279"/>
          <c:h val="0.4990059642147118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HR!$D$14</c:f>
              <c:strCache>
                <c:ptCount val="1"/>
                <c:pt idx="0">
                  <c:v>Posición 1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HR!$C$17:$C$305</c:f>
              <c:numCache>
                <c:formatCode>dd/mm/yyyy\ hh:mm\ AM/PM</c:formatCode>
                <c:ptCount val="2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xVal>
          <c:yVal>
            <c:numRef>
              <c:f>HR!$D$17:$D$305</c:f>
              <c:numCache>
                <c:formatCode>0.0</c:formatCode>
                <c:ptCount val="2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A3-4187-94F9-CF50207852D8}"/>
            </c:ext>
          </c:extLst>
        </c:ser>
        <c:ser>
          <c:idx val="1"/>
          <c:order val="1"/>
          <c:tx>
            <c:strRef>
              <c:f>HR!$E$14</c:f>
              <c:strCache>
                <c:ptCount val="1"/>
                <c:pt idx="0">
                  <c:v>Posición 2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HR!$C$17:$C$305</c:f>
              <c:numCache>
                <c:formatCode>dd/mm/yyyy\ hh:mm\ AM/PM</c:formatCode>
                <c:ptCount val="2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xVal>
          <c:yVal>
            <c:numRef>
              <c:f>HR!$E$17:$E$305</c:f>
              <c:numCache>
                <c:formatCode>0.0</c:formatCode>
                <c:ptCount val="2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A3-4187-94F9-CF50207852D8}"/>
            </c:ext>
          </c:extLst>
        </c:ser>
        <c:ser>
          <c:idx val="2"/>
          <c:order val="2"/>
          <c:tx>
            <c:strRef>
              <c:f>HR!$F$14</c:f>
              <c:strCache>
                <c:ptCount val="1"/>
                <c:pt idx="0">
                  <c:v>Posición 3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HR!$C$17:$C$305</c:f>
              <c:numCache>
                <c:formatCode>dd/mm/yyyy\ hh:mm\ AM/PM</c:formatCode>
                <c:ptCount val="2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xVal>
          <c:yVal>
            <c:numRef>
              <c:f>HR!$F$17:$F$305</c:f>
              <c:numCache>
                <c:formatCode>0.0</c:formatCode>
                <c:ptCount val="2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DA3-4187-94F9-CF50207852D8}"/>
            </c:ext>
          </c:extLst>
        </c:ser>
        <c:ser>
          <c:idx val="3"/>
          <c:order val="3"/>
          <c:tx>
            <c:strRef>
              <c:f>HR!$G$14</c:f>
              <c:strCache>
                <c:ptCount val="1"/>
                <c:pt idx="0">
                  <c:v>Posición 4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HR!$C$17:$C$305</c:f>
              <c:numCache>
                <c:formatCode>dd/mm/yyyy\ hh:mm\ AM/PM</c:formatCode>
                <c:ptCount val="2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xVal>
          <c:yVal>
            <c:numRef>
              <c:f>HR!$G$17:$G$305</c:f>
              <c:numCache>
                <c:formatCode>0.0</c:formatCode>
                <c:ptCount val="2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DA3-4187-94F9-CF50207852D8}"/>
            </c:ext>
          </c:extLst>
        </c:ser>
        <c:ser>
          <c:idx val="4"/>
          <c:order val="4"/>
          <c:tx>
            <c:strRef>
              <c:f>HR!$H$14</c:f>
              <c:strCache>
                <c:ptCount val="1"/>
                <c:pt idx="0">
                  <c:v>Posición 5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HR!$C$17:$C$305</c:f>
              <c:numCache>
                <c:formatCode>dd/mm/yyyy\ hh:mm\ AM/PM</c:formatCode>
                <c:ptCount val="2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xVal>
          <c:yVal>
            <c:numRef>
              <c:f>HR!$H$17:$H$305</c:f>
              <c:numCache>
                <c:formatCode>0.0</c:formatCode>
                <c:ptCount val="2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DA3-4187-94F9-CF50207852D8}"/>
            </c:ext>
          </c:extLst>
        </c:ser>
        <c:ser>
          <c:idx val="5"/>
          <c:order val="5"/>
          <c:tx>
            <c:strRef>
              <c:f>HR!$I$14</c:f>
              <c:strCache>
                <c:ptCount val="1"/>
                <c:pt idx="0">
                  <c:v>Posición 6</c:v>
                </c:pt>
              </c:strCache>
            </c:strRef>
          </c:tx>
          <c:spPr>
            <a:ln w="2857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HR!$C$17:$C$305</c:f>
              <c:numCache>
                <c:formatCode>dd/mm/yyyy\ hh:mm\ AM/PM</c:formatCode>
                <c:ptCount val="2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xVal>
          <c:yVal>
            <c:numRef>
              <c:f>HR!$I$17:$I$305</c:f>
              <c:numCache>
                <c:formatCode>0.0</c:formatCode>
                <c:ptCount val="2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DA3-4187-94F9-CF50207852D8}"/>
            </c:ext>
          </c:extLst>
        </c:ser>
        <c:ser>
          <c:idx val="6"/>
          <c:order val="6"/>
          <c:tx>
            <c:strRef>
              <c:f>HR!$J$14</c:f>
              <c:strCache>
                <c:ptCount val="1"/>
                <c:pt idx="0">
                  <c:v>Posición 7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HR!$C$17:$C$305</c:f>
              <c:numCache>
                <c:formatCode>dd/mm/yyyy\ hh:mm\ AM/PM</c:formatCode>
                <c:ptCount val="2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xVal>
          <c:yVal>
            <c:numRef>
              <c:f>HR!$J$17:$J$305</c:f>
              <c:numCache>
                <c:formatCode>0.0</c:formatCode>
                <c:ptCount val="2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DA3-4187-94F9-CF50207852D8}"/>
            </c:ext>
          </c:extLst>
        </c:ser>
        <c:ser>
          <c:idx val="7"/>
          <c:order val="7"/>
          <c:tx>
            <c:strRef>
              <c:f>HR!$K$14</c:f>
              <c:strCache>
                <c:ptCount val="1"/>
                <c:pt idx="0">
                  <c:v>Posición 8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HR!$C$17:$C$305</c:f>
              <c:numCache>
                <c:formatCode>dd/mm/yyyy\ hh:mm\ AM/PM</c:formatCode>
                <c:ptCount val="2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xVal>
          <c:yVal>
            <c:numRef>
              <c:f>HR!$K$17:$K$305</c:f>
              <c:numCache>
                <c:formatCode>0.0</c:formatCode>
                <c:ptCount val="2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DA3-4187-94F9-CF50207852D8}"/>
            </c:ext>
          </c:extLst>
        </c:ser>
        <c:ser>
          <c:idx val="8"/>
          <c:order val="8"/>
          <c:tx>
            <c:strRef>
              <c:f>HR!$L$14</c:f>
              <c:strCache>
                <c:ptCount val="1"/>
                <c:pt idx="0">
                  <c:v>Posición 9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HR!$C$17:$C$305</c:f>
              <c:numCache>
                <c:formatCode>dd/mm/yyyy\ hh:mm\ AM/PM</c:formatCode>
                <c:ptCount val="2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xVal>
          <c:yVal>
            <c:numRef>
              <c:f>HR!$L$17:$L$305</c:f>
              <c:numCache>
                <c:formatCode>0.0</c:formatCode>
                <c:ptCount val="2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DA3-4187-94F9-CF5020785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9766304"/>
        <c:axId val="-89767392"/>
      </c:scatterChart>
      <c:valAx>
        <c:axId val="-89766304"/>
        <c:scaling>
          <c:orientation val="minMax"/>
        </c:scaling>
        <c:delete val="0"/>
        <c:axPos val="b"/>
        <c:min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Tiempo acumulado(hh:mm:ss)</a:t>
                </a:r>
              </a:p>
            </c:rich>
          </c:tx>
          <c:layout>
            <c:manualLayout>
              <c:xMode val="edge"/>
              <c:yMode val="edge"/>
              <c:x val="0.40281763336741622"/>
              <c:y val="0.96666401202296715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s-CO"/>
            </a:p>
          </c:txPr>
        </c:title>
        <c:numFmt formatCode="dd/mm/yyyy\ hh:mm\ AM/PM" sourceLinked="0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-89767392"/>
        <c:crosses val="autoZero"/>
        <c:crossBetween val="midCat"/>
      </c:valAx>
      <c:valAx>
        <c:axId val="-89767392"/>
        <c:scaling>
          <c:orientation val="minMax"/>
          <c:max val="80"/>
          <c:min val="50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relativa (%)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6.6889413304049164E-3"/>
              <c:y val="0.3797053261355432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s-CO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-89766304"/>
        <c:crosses val="autoZero"/>
        <c:crossBetween val="midCat"/>
      </c:valAx>
      <c:spPr>
        <a:noFill/>
        <a:ln w="3175">
          <a:solidFill>
            <a:srgbClr val="000000"/>
          </a:solidFill>
          <a:prstDash val="solid"/>
        </a:ln>
        <a:effectLst/>
      </c:spPr>
    </c:plotArea>
    <c:legend>
      <c:legendPos val="r"/>
      <c:layout>
        <c:manualLayout>
          <c:xMode val="edge"/>
          <c:yMode val="edge"/>
          <c:x val="0.53052467220731714"/>
          <c:y val="4.8125093661824075E-2"/>
          <c:w val="0.39407179540959153"/>
          <c:h val="0.1825321019211913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098717959922065E-2"/>
          <c:y val="0.27023930328447937"/>
          <c:w val="0.85618729096989965"/>
          <c:h val="0.49502982107355875"/>
        </c:manualLayout>
      </c:layout>
      <c:scatterChart>
        <c:scatterStyle val="smoothMarker"/>
        <c:varyColors val="0"/>
        <c:ser>
          <c:idx val="2"/>
          <c:order val="0"/>
          <c:tx>
            <c:strRef>
              <c:f>'Fallas HR '!$G$2</c:f>
              <c:strCache>
                <c:ptCount val="1"/>
                <c:pt idx="0">
                  <c:v>Corte de energía</c:v>
                </c:pt>
              </c:strCache>
            </c:strRef>
          </c:tx>
          <c:spPr>
            <a:ln w="28575" cap="rnd" cmpd="sng" algn="ctr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'Fallas HR '!$B$7:$B$36</c:f>
              <c:numCache>
                <c:formatCode>d/mm/yyyy\ h:mm:ss\ AM/PM</c:formatCode>
                <c:ptCount val="30"/>
              </c:numCache>
            </c:numRef>
          </c:xVal>
          <c:yVal>
            <c:numRef>
              <c:f>'Fallas HR '!$C$7:$C$36</c:f>
              <c:numCache>
                <c:formatCode>0.0</c:formatCode>
                <c:ptCount val="3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E8-4DBA-9837-2A42BA3815A5}"/>
            </c:ext>
          </c:extLst>
        </c:ser>
        <c:ser>
          <c:idx val="3"/>
          <c:order val="1"/>
          <c:tx>
            <c:strRef>
              <c:f>'Fallas HR '!$G$3</c:f>
              <c:strCache>
                <c:ptCount val="1"/>
                <c:pt idx="0">
                  <c:v>Recuperación</c:v>
                </c:pt>
              </c:strCache>
            </c:strRef>
          </c:tx>
          <c:spPr>
            <a:ln w="28575" cap="rnd" cmpd="sng" algn="ctr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'Fallas HR '!$B$36:$B$66</c:f>
              <c:numCache>
                <c:formatCode>d/mm/yyyy\ h:mm:ss\ AM/PM</c:formatCode>
                <c:ptCount val="31"/>
              </c:numCache>
            </c:numRef>
          </c:xVal>
          <c:yVal>
            <c:numRef>
              <c:f>'Fallas HR '!$C$36:$C$66</c:f>
              <c:numCache>
                <c:formatCode>0.0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CE8-4DBA-9837-2A42BA381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9757600"/>
        <c:axId val="-89760864"/>
      </c:scatterChart>
      <c:valAx>
        <c:axId val="-89757600"/>
        <c:scaling>
          <c:orientation val="minMax"/>
        </c:scaling>
        <c:delete val="0"/>
        <c:axPos val="b"/>
        <c:min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Tiempo acumulado(hh:mm:ss)</a:t>
                </a:r>
              </a:p>
            </c:rich>
          </c:tx>
          <c:layout>
            <c:manualLayout>
              <c:xMode val="edge"/>
              <c:yMode val="edge"/>
              <c:x val="0.40133791267212571"/>
              <c:y val="0.96883910718338018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s-CO"/>
            </a:p>
          </c:txPr>
        </c:title>
        <c:numFmt formatCode="dd/mm/yyyy\ hh:mm\ AM/PM" sourceLinked="0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-89760864"/>
        <c:crosses val="autoZero"/>
        <c:crossBetween val="midCat"/>
      </c:valAx>
      <c:valAx>
        <c:axId val="-89760864"/>
        <c:scaling>
          <c:orientation val="minMax"/>
          <c:min val="45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Temperatura (°C)</a:t>
                </a:r>
              </a:p>
            </c:rich>
          </c:tx>
          <c:layout>
            <c:manualLayout>
              <c:xMode val="edge"/>
              <c:yMode val="edge"/>
              <c:x val="6.6890524271390316E-3"/>
              <c:y val="0.3797053261355432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s-CO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-89757600"/>
        <c:crosses val="autoZero"/>
        <c:crossBetween val="midCat"/>
      </c:valAx>
      <c:spPr>
        <a:noFill/>
        <a:ln w="3175">
          <a:solidFill>
            <a:srgbClr val="000000"/>
          </a:solidFill>
          <a:prstDash val="solid"/>
        </a:ln>
        <a:effectLst/>
      </c:spPr>
    </c:plotArea>
    <c:legend>
      <c:legendPos val="r"/>
      <c:layout>
        <c:manualLayout>
          <c:xMode val="edge"/>
          <c:yMode val="edge"/>
          <c:x val="0.6434858905677856"/>
          <c:y val="6.4376137322149571E-2"/>
          <c:w val="0.15262525569535124"/>
          <c:h val="0.1295426749666762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" footer="0"/>
  <pageSetup orientation="landscape" horizontalDpi="4294967293" verticalDpi="4294967293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" footer="0"/>
  <pageSetup orientation="landscape" horizontalDpi="4294967293" verticalDpi="4294967293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" footer="0"/>
  <pageSetup orientation="landscape" horizontalDpi="4294967293" verticalDpi="4294967293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" footer="0"/>
  <pageSetup orientation="landscape" horizontalDpi="4294967293" verticalDpi="4294967293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0.04127</cdr:x>
      <cdr:y>0.01438</cdr:y>
    </cdr:from>
    <cdr:to>
      <cdr:x>0.48724</cdr:x>
      <cdr:y>0.23811</cdr:y>
    </cdr:to>
    <cdr:sp macro="" textlink="">
      <cdr:nvSpPr>
        <cdr:cNvPr id="2" name="1 CuadroTexto">
          <a:extLst xmlns:a="http://schemas.openxmlformats.org/drawingml/2006/main">
            <a:ext uri="{FF2B5EF4-FFF2-40B4-BE49-F238E27FC236}">
              <a16:creationId xmlns:a16="http://schemas.microsoft.com/office/drawing/2014/main" id="{084F1A91-7191-555F-5696-648660B5F818}"/>
            </a:ext>
          </a:extLst>
        </cdr:cNvPr>
        <cdr:cNvSpPr txBox="1"/>
      </cdr:nvSpPr>
      <cdr:spPr>
        <a:xfrm xmlns:a="http://schemas.openxmlformats.org/drawingml/2006/main">
          <a:off x="354177" y="83984"/>
          <a:ext cx="3827326" cy="1306321"/>
        </a:xfrm>
        <a:prstGeom xmlns:a="http://schemas.openxmlformats.org/drawingml/2006/main" prst="rect">
          <a:avLst/>
        </a:prstGeom>
        <a:solidFill xmlns:a="http://schemas.openxmlformats.org/drawingml/2006/main">
          <a:schemeClr val="tx2">
            <a:lumMod val="60000"/>
            <a:lumOff val="40000"/>
          </a:schemeClr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rtl="0"/>
          <a:r>
            <a:rPr lang="es-MX" sz="8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ANEXO 06 - </a:t>
          </a:r>
          <a:r>
            <a:rPr lang="es-CO" sz="8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GRÁFICA 01/04</a:t>
          </a:r>
          <a:endParaRPr lang="es-CO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s-MX" sz="8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Calificación Operación</a:t>
          </a:r>
        </a:p>
        <a:p xmlns:a="http://schemas.openxmlformats.org/drawingml/2006/main">
          <a:pPr rtl="0"/>
          <a:r>
            <a:rPr lang="es-MX" sz="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Periodo de evaluacion:	XX horas</a:t>
          </a:r>
          <a:endParaRPr lang="es-CO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s-MX" sz="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Equipo:		Camara climática</a:t>
          </a:r>
        </a:p>
        <a:p xmlns:a="http://schemas.openxmlformats.org/drawingml/2006/main">
          <a:pPr rtl="0"/>
          <a:r>
            <a:rPr lang="es-MX" sz="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Variable Evaluada:		Temperatura</a:t>
          </a:r>
          <a:endParaRPr lang="es-CO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s-MX" sz="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Ubicación:		XXXXXXXXX</a:t>
          </a:r>
        </a:p>
        <a:p xmlns:a="http://schemas.openxmlformats.org/drawingml/2006/main">
          <a:pPr rtl="0"/>
          <a:r>
            <a:rPr lang="es-MX" sz="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Hora y fecha de Inicio:	00:00:00 pm / AAAA-MM-DD</a:t>
          </a:r>
        </a:p>
        <a:p xmlns:a="http://schemas.openxmlformats.org/drawingml/2006/main">
          <a:pPr rtl="0"/>
          <a:r>
            <a:rPr lang="es-MX" sz="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Hora y fecha Final:		00:00:00 pm / AAAA-MM-DD</a:t>
          </a:r>
        </a:p>
        <a:p xmlns:a="http://schemas.openxmlformats.org/drawingml/2006/main">
          <a:pPr rtl="0"/>
          <a:r>
            <a:rPr lang="es-MX" sz="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Ensayo:		XXXXXXXX POI</a:t>
          </a:r>
        </a:p>
        <a:p xmlns:a="http://schemas.openxmlformats.org/drawingml/2006/main">
          <a:pPr rtl="0"/>
          <a:endParaRPr lang="es-MX" sz="800" b="0" i="0" baseline="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C952205-1685-9D75-FF2E-54DFD2BCE97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0.07471</cdr:x>
      <cdr:y>0.04506</cdr:y>
    </cdr:from>
    <cdr:to>
      <cdr:x>0.56317</cdr:x>
      <cdr:y>0.24859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639882" y="262325"/>
          <a:ext cx="4183578" cy="1184886"/>
        </a:xfrm>
        <a:prstGeom xmlns:a="http://schemas.openxmlformats.org/drawingml/2006/main" prst="rect">
          <a:avLst/>
        </a:prstGeom>
        <a:solidFill xmlns:a="http://schemas.openxmlformats.org/drawingml/2006/main">
          <a:schemeClr val="tx2">
            <a:lumMod val="60000"/>
            <a:lumOff val="40000"/>
          </a:schemeClr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rtl="0"/>
          <a:r>
            <a:rPr lang="es-MX" sz="8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ANEXO 07 - GRAFICA 03/04</a:t>
          </a:r>
        </a:p>
        <a:p xmlns:a="http://schemas.openxmlformats.org/drawingml/2006/main">
          <a:pPr rtl="0"/>
          <a:r>
            <a:rPr lang="es-MX" sz="8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Pruebas de falla</a:t>
          </a:r>
          <a:endParaRPr lang="es-CO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s-MX" sz="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Periodo de evaluacion:	1 hora</a:t>
          </a:r>
          <a:endParaRPr lang="es-CO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s-MX" sz="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Equipo:		Cámara climática</a:t>
          </a:r>
        </a:p>
        <a:p xmlns:a="http://schemas.openxmlformats.org/drawingml/2006/main">
          <a:pPr rtl="0"/>
          <a:r>
            <a:rPr lang="es-MX" sz="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Variable Evaluada:		Temperatura</a:t>
          </a:r>
          <a:endParaRPr lang="es-CO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s-MX" sz="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Ubicación:		</a:t>
          </a:r>
          <a:endParaRPr lang="es-CO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s-MX" sz="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Hora y fecha de corte de energía:	</a:t>
          </a:r>
        </a:p>
        <a:p xmlns:a="http://schemas.openxmlformats.org/drawingml/2006/main">
          <a:pPr rtl="0"/>
          <a:r>
            <a:rPr lang="es-MX" sz="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Hora y fecha de recuperación:		</a:t>
          </a:r>
        </a:p>
        <a:p xmlns:a="http://schemas.openxmlformats.org/drawingml/2006/main">
          <a:pPr rtl="0"/>
          <a:r>
            <a:rPr lang="es-MX" sz="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Ensayo:		</a:t>
          </a:r>
          <a:endParaRPr lang="es-CO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64880" cy="582168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D4D02CD-AB67-4153-ADCC-29F3CC9D1D5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0.04864</cdr:x>
      <cdr:y>0.04407</cdr:y>
    </cdr:from>
    <cdr:to>
      <cdr:x>0.51924</cdr:x>
      <cdr:y>0.2678</cdr:y>
    </cdr:to>
    <cdr:sp macro="" textlink="">
      <cdr:nvSpPr>
        <cdr:cNvPr id="2" name="1 CuadroTexto">
          <a:extLst xmlns:a="http://schemas.openxmlformats.org/drawingml/2006/main">
            <a:ext uri="{FF2B5EF4-FFF2-40B4-BE49-F238E27FC236}">
              <a16:creationId xmlns:a16="http://schemas.microsoft.com/office/drawing/2014/main" id="{3C2D8057-8E38-0CF2-7891-7DBA5625E4FF}"/>
            </a:ext>
          </a:extLst>
        </cdr:cNvPr>
        <cdr:cNvSpPr txBox="1"/>
      </cdr:nvSpPr>
      <cdr:spPr>
        <a:xfrm xmlns:a="http://schemas.openxmlformats.org/drawingml/2006/main">
          <a:off x="416560" y="256540"/>
          <a:ext cx="4030632" cy="1302485"/>
        </a:xfrm>
        <a:prstGeom xmlns:a="http://schemas.openxmlformats.org/drawingml/2006/main" prst="rect">
          <a:avLst/>
        </a:prstGeom>
        <a:solidFill xmlns:a="http://schemas.openxmlformats.org/drawingml/2006/main">
          <a:schemeClr val="tx2">
            <a:lumMod val="60000"/>
            <a:lumOff val="40000"/>
          </a:schemeClr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rtl="0"/>
          <a:r>
            <a:rPr lang="es-MX" sz="8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ANEXO 06 - </a:t>
          </a:r>
          <a:r>
            <a:rPr lang="es-CO" sz="8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GRÁFICA 02/04</a:t>
          </a:r>
          <a:endParaRPr lang="es-CO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s-MX" sz="8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Calificación Operación</a:t>
          </a:r>
        </a:p>
        <a:p xmlns:a="http://schemas.openxmlformats.org/drawingml/2006/main">
          <a:pPr rtl="0"/>
          <a:r>
            <a:rPr lang="es-MX" sz="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Periodo de evaluacion:	XX horas</a:t>
          </a:r>
          <a:endParaRPr lang="es-CO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s-MX" sz="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Equipo:		Camara climática</a:t>
          </a:r>
        </a:p>
        <a:p xmlns:a="http://schemas.openxmlformats.org/drawingml/2006/main">
          <a:pPr rtl="0"/>
          <a:r>
            <a:rPr lang="es-MX" sz="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Variable Evaluada:		</a:t>
          </a:r>
          <a:r>
            <a:rPr lang="es-ES" sz="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Humedad Relativa</a:t>
          </a:r>
          <a:endParaRPr lang="es-CO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s-MX" sz="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Ubicación:		XXXXXXXXX</a:t>
          </a:r>
        </a:p>
        <a:p xmlns:a="http://schemas.openxmlformats.org/drawingml/2006/main">
          <a:pPr rtl="0"/>
          <a:r>
            <a:rPr lang="es-MX" sz="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Hora y fecha de Inicio:	00:00:00 pm / AAAA-MM-DD</a:t>
          </a:r>
        </a:p>
        <a:p xmlns:a="http://schemas.openxmlformats.org/drawingml/2006/main">
          <a:pPr rtl="0"/>
          <a:r>
            <a:rPr lang="es-MX" sz="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Hora y fecha Final:		00:00:00 pm / AAAA-MM-DD</a:t>
          </a:r>
        </a:p>
        <a:p xmlns:a="http://schemas.openxmlformats.org/drawingml/2006/main">
          <a:pPr rtl="0"/>
          <a:r>
            <a:rPr lang="es-MX" sz="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Ensayo:		XXXXXXXX POI</a:t>
          </a:r>
        </a:p>
        <a:p xmlns:a="http://schemas.openxmlformats.org/drawingml/2006/main">
          <a:pPr rtl="0"/>
          <a:endParaRPr lang="es-MX" sz="800" b="0" i="0" baseline="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564880" cy="582168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6C132E-AAC3-7082-4723-38FBC7BEEE7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0.07471</cdr:x>
      <cdr:y>0.04506</cdr:y>
    </cdr:from>
    <cdr:to>
      <cdr:x>0.56317</cdr:x>
      <cdr:y>0.24859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639882" y="262325"/>
          <a:ext cx="4183578" cy="1184886"/>
        </a:xfrm>
        <a:prstGeom xmlns:a="http://schemas.openxmlformats.org/drawingml/2006/main" prst="rect">
          <a:avLst/>
        </a:prstGeom>
        <a:solidFill xmlns:a="http://schemas.openxmlformats.org/drawingml/2006/main">
          <a:schemeClr val="tx2">
            <a:lumMod val="60000"/>
            <a:lumOff val="40000"/>
          </a:schemeClr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rtl="0"/>
          <a:r>
            <a:rPr lang="es-MX" sz="8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ANEXO 07 - GRAFICA 04/04</a:t>
          </a:r>
        </a:p>
        <a:p xmlns:a="http://schemas.openxmlformats.org/drawingml/2006/main">
          <a:pPr rtl="0"/>
          <a:r>
            <a:rPr lang="es-MX" sz="8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Pruebas de falla</a:t>
          </a:r>
          <a:endParaRPr lang="es-CO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s-MX" sz="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Periodo de evaluacion:	1 hora</a:t>
          </a:r>
          <a:endParaRPr lang="es-CO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s-MX" sz="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Equipo:		Cámara climática</a:t>
          </a:r>
        </a:p>
        <a:p xmlns:a="http://schemas.openxmlformats.org/drawingml/2006/main">
          <a:pPr rtl="0"/>
          <a:r>
            <a:rPr lang="es-MX" sz="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Variable Evaluada:		Humedad relativa</a:t>
          </a:r>
          <a:endParaRPr lang="es-CO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s-MX" sz="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Ubicación:		</a:t>
          </a:r>
          <a:endParaRPr lang="es-CO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s-MX" sz="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Hora y fecha de corte de energía:	</a:t>
          </a:r>
        </a:p>
        <a:p xmlns:a="http://schemas.openxmlformats.org/drawingml/2006/main">
          <a:pPr rtl="0"/>
          <a:r>
            <a:rPr lang="es-MX" sz="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Hora y fecha de recuperación:		</a:t>
          </a:r>
        </a:p>
        <a:p xmlns:a="http://schemas.openxmlformats.org/drawingml/2006/main">
          <a:pPr rtl="0"/>
          <a:r>
            <a:rPr lang="es-MX" sz="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Ensayo:		</a:t>
          </a:r>
          <a:endParaRPr lang="es-CO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Zoser%20Medellin\Z-Servicios\A-Certificados\18823%20-%20231224%20POA%20-%20CC%20-%20Cuarto%20clim&#225;tico%20-%20Naturfar%20-%20CC-239%20-%20M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marios"/>
      <sheetName val="PalisadeFitLinks"/>
      <sheetName val="T"/>
      <sheetName val="GT"/>
      <sheetName val="Fallas Tem"/>
      <sheetName val="Grafico Fallas Tem"/>
      <sheetName val="HR"/>
      <sheetName val="GHR"/>
      <sheetName val="Fallas HR "/>
      <sheetName val="Grafico fallas HR"/>
      <sheetName val="Análisis"/>
    </sheetNames>
    <sheetDataSet>
      <sheetData sheetId="0">
        <row r="6">
          <cell r="S6" t="str">
            <v>Humedad (% RH)</v>
          </cell>
        </row>
      </sheetData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37"/>
  <sheetViews>
    <sheetView tabSelected="1" zoomScaleNormal="100" workbookViewId="0">
      <selection activeCell="B292" sqref="B292"/>
    </sheetView>
  </sheetViews>
  <sheetFormatPr baseColWidth="10" defaultColWidth="15.6640625" defaultRowHeight="10.199999999999999" x14ac:dyDescent="0.2"/>
  <cols>
    <col min="1" max="1" width="13.6640625" style="6" customWidth="1"/>
    <col min="2" max="2" width="19" style="24" customWidth="1"/>
    <col min="3" max="11" width="13.6640625" style="6" customWidth="1"/>
    <col min="12" max="12" width="8.109375" style="6" customWidth="1"/>
    <col min="13" max="21" width="13.6640625" style="6" customWidth="1"/>
    <col min="22" max="16384" width="15.6640625" style="6"/>
  </cols>
  <sheetData>
    <row r="1" spans="1:30" ht="15" customHeight="1" x14ac:dyDescent="0.2">
      <c r="A1" s="2" t="s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5"/>
      <c r="M1" s="4"/>
      <c r="N1" s="4"/>
      <c r="O1" s="4"/>
      <c r="P1" s="4"/>
      <c r="Q1" s="4"/>
      <c r="R1" s="4"/>
      <c r="S1" s="4"/>
      <c r="T1" s="4"/>
      <c r="U1" s="4"/>
    </row>
    <row r="2" spans="1:30" ht="15" customHeight="1" x14ac:dyDescent="0.2">
      <c r="A2" s="2" t="s">
        <v>1</v>
      </c>
      <c r="B2" s="3"/>
      <c r="C2" s="4"/>
      <c r="D2" s="4"/>
      <c r="E2" s="4"/>
      <c r="F2" s="4"/>
      <c r="G2" s="4"/>
      <c r="H2" s="4"/>
      <c r="I2" s="4"/>
      <c r="J2" s="4"/>
      <c r="K2" s="4"/>
      <c r="L2" s="5"/>
      <c r="M2" s="4"/>
      <c r="N2" s="4"/>
      <c r="O2" s="4"/>
      <c r="P2" s="4"/>
      <c r="Q2" s="4"/>
      <c r="R2" s="4"/>
      <c r="S2" s="4"/>
      <c r="T2" s="4"/>
      <c r="U2" s="4"/>
    </row>
    <row r="3" spans="1:30" ht="15" customHeight="1" x14ac:dyDescent="0.2">
      <c r="A3" s="2" t="s">
        <v>2</v>
      </c>
      <c r="B3" s="3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4"/>
      <c r="P3" s="4"/>
      <c r="Q3" s="4"/>
      <c r="R3" s="4"/>
      <c r="S3" s="4"/>
      <c r="T3" s="4"/>
      <c r="U3" s="4"/>
    </row>
    <row r="4" spans="1:30" ht="15" customHeight="1" x14ac:dyDescent="0.2">
      <c r="A4" s="2" t="s">
        <v>6</v>
      </c>
      <c r="B4" s="3"/>
      <c r="C4" s="4"/>
      <c r="D4" s="4"/>
      <c r="E4" s="4"/>
      <c r="F4" s="4"/>
      <c r="G4" s="4"/>
      <c r="H4" s="4"/>
      <c r="I4" s="4"/>
      <c r="J4" s="4"/>
      <c r="K4" s="4"/>
      <c r="L4" s="5"/>
      <c r="M4" s="4"/>
      <c r="N4" s="4"/>
      <c r="O4" s="4"/>
      <c r="P4" s="4"/>
      <c r="Q4" s="4"/>
      <c r="R4" s="4"/>
      <c r="S4" s="4"/>
      <c r="T4" s="4"/>
      <c r="U4" s="4"/>
    </row>
    <row r="5" spans="1:30" ht="15" customHeight="1" x14ac:dyDescent="0.2">
      <c r="A5" s="2" t="s">
        <v>61</v>
      </c>
      <c r="B5" s="7"/>
      <c r="C5" s="8" t="s">
        <v>50</v>
      </c>
      <c r="D5" s="9" t="s">
        <v>51</v>
      </c>
      <c r="E5" s="9" t="s">
        <v>52</v>
      </c>
      <c r="F5" s="9" t="s">
        <v>53</v>
      </c>
      <c r="G5" s="9" t="s">
        <v>54</v>
      </c>
      <c r="H5" s="9" t="s">
        <v>60</v>
      </c>
      <c r="I5" s="9" t="s">
        <v>62</v>
      </c>
      <c r="J5" s="9" t="s">
        <v>63</v>
      </c>
      <c r="K5" s="9" t="s">
        <v>64</v>
      </c>
      <c r="L5" s="10"/>
      <c r="M5" s="8" t="s">
        <v>50</v>
      </c>
      <c r="N5" s="9" t="s">
        <v>51</v>
      </c>
      <c r="O5" s="9" t="s">
        <v>52</v>
      </c>
      <c r="P5" s="9" t="s">
        <v>53</v>
      </c>
      <c r="Q5" s="9" t="s">
        <v>54</v>
      </c>
      <c r="R5" s="9" t="s">
        <v>60</v>
      </c>
      <c r="S5" s="9" t="s">
        <v>62</v>
      </c>
      <c r="T5" s="9" t="s">
        <v>63</v>
      </c>
      <c r="U5" s="9" t="s">
        <v>64</v>
      </c>
    </row>
    <row r="6" spans="1:30" ht="15" customHeight="1" thickBot="1" x14ac:dyDescent="0.25">
      <c r="A6" s="11" t="s">
        <v>65</v>
      </c>
      <c r="B6" s="12" t="s">
        <v>92</v>
      </c>
      <c r="C6" s="13" t="s">
        <v>9</v>
      </c>
      <c r="D6" s="13" t="s">
        <v>9</v>
      </c>
      <c r="E6" s="13" t="s">
        <v>9</v>
      </c>
      <c r="F6" s="13" t="s">
        <v>9</v>
      </c>
      <c r="G6" s="13" t="s">
        <v>9</v>
      </c>
      <c r="H6" s="13" t="s">
        <v>9</v>
      </c>
      <c r="I6" s="13" t="s">
        <v>9</v>
      </c>
      <c r="J6" s="13" t="s">
        <v>9</v>
      </c>
      <c r="K6" s="13" t="s">
        <v>9</v>
      </c>
      <c r="L6" s="14"/>
      <c r="M6" s="15" t="s">
        <v>75</v>
      </c>
      <c r="N6" s="15" t="s">
        <v>75</v>
      </c>
      <c r="O6" s="15" t="s">
        <v>75</v>
      </c>
      <c r="P6" s="15" t="s">
        <v>75</v>
      </c>
      <c r="Q6" s="15" t="s">
        <v>75</v>
      </c>
      <c r="R6" s="15" t="s">
        <v>75</v>
      </c>
      <c r="S6" s="15" t="s">
        <v>75</v>
      </c>
      <c r="T6" s="15" t="s">
        <v>75</v>
      </c>
      <c r="U6" s="15" t="s">
        <v>75</v>
      </c>
    </row>
    <row r="7" spans="1:30" x14ac:dyDescent="0.2">
      <c r="A7" s="16">
        <v>1</v>
      </c>
      <c r="B7" s="25"/>
      <c r="C7" s="26"/>
      <c r="D7" s="26"/>
      <c r="E7" s="26"/>
      <c r="F7" s="27"/>
      <c r="G7" s="26"/>
      <c r="H7" s="26"/>
      <c r="I7" s="26"/>
      <c r="J7" s="27"/>
      <c r="K7" s="26"/>
      <c r="L7" s="28"/>
      <c r="M7" s="27"/>
      <c r="N7" s="27"/>
      <c r="O7" s="27"/>
      <c r="P7" s="27"/>
      <c r="Q7" s="27"/>
      <c r="R7" s="27"/>
      <c r="S7" s="27"/>
      <c r="T7" s="27"/>
      <c r="U7" s="27"/>
      <c r="V7" s="19"/>
      <c r="W7" s="19"/>
      <c r="X7" s="19"/>
      <c r="Y7" s="19"/>
      <c r="Z7" s="19"/>
      <c r="AA7" s="19"/>
      <c r="AB7" s="19"/>
      <c r="AC7" s="19"/>
      <c r="AD7" s="19"/>
    </row>
    <row r="8" spans="1:30" x14ac:dyDescent="0.2">
      <c r="A8" s="16">
        <v>2</v>
      </c>
      <c r="B8" s="25"/>
      <c r="C8" s="26"/>
      <c r="D8" s="26"/>
      <c r="E8" s="26"/>
      <c r="F8" s="27"/>
      <c r="G8" s="26"/>
      <c r="H8" s="26"/>
      <c r="I8" s="26"/>
      <c r="J8" s="27"/>
      <c r="K8" s="26"/>
      <c r="L8" s="28"/>
      <c r="M8" s="27"/>
      <c r="N8" s="27"/>
      <c r="O8" s="27"/>
      <c r="P8" s="27"/>
      <c r="Q8" s="27"/>
      <c r="R8" s="27"/>
      <c r="S8" s="27"/>
      <c r="T8" s="27"/>
      <c r="U8" s="27"/>
      <c r="V8" s="19"/>
      <c r="W8" s="19"/>
      <c r="X8" s="19"/>
      <c r="Y8" s="19"/>
      <c r="Z8" s="19"/>
      <c r="AA8" s="19"/>
      <c r="AB8" s="19"/>
      <c r="AC8" s="19"/>
      <c r="AD8" s="19"/>
    </row>
    <row r="9" spans="1:30" x14ac:dyDescent="0.2">
      <c r="A9" s="16">
        <v>3</v>
      </c>
      <c r="B9" s="25"/>
      <c r="C9" s="26"/>
      <c r="D9" s="26"/>
      <c r="E9" s="26"/>
      <c r="F9" s="27"/>
      <c r="G9" s="26"/>
      <c r="H9" s="26"/>
      <c r="I9" s="26"/>
      <c r="J9" s="27"/>
      <c r="K9" s="26"/>
      <c r="L9" s="28"/>
      <c r="M9" s="27"/>
      <c r="N9" s="27"/>
      <c r="O9" s="27"/>
      <c r="P9" s="27"/>
      <c r="Q9" s="27"/>
      <c r="R9" s="27"/>
      <c r="S9" s="27"/>
      <c r="T9" s="27"/>
      <c r="U9" s="27"/>
      <c r="V9" s="19"/>
      <c r="W9" s="19"/>
      <c r="X9" s="19"/>
      <c r="Y9" s="19"/>
      <c r="Z9" s="19"/>
      <c r="AA9" s="19"/>
      <c r="AB9" s="19"/>
      <c r="AC9" s="19"/>
      <c r="AD9" s="19"/>
    </row>
    <row r="10" spans="1:30" x14ac:dyDescent="0.2">
      <c r="A10" s="16">
        <v>4</v>
      </c>
      <c r="B10" s="25"/>
      <c r="C10" s="26"/>
      <c r="D10" s="26"/>
      <c r="E10" s="26"/>
      <c r="F10" s="27"/>
      <c r="G10" s="26"/>
      <c r="H10" s="26"/>
      <c r="I10" s="26"/>
      <c r="J10" s="27"/>
      <c r="K10" s="26"/>
      <c r="L10" s="28"/>
      <c r="M10" s="27"/>
      <c r="N10" s="27"/>
      <c r="O10" s="27"/>
      <c r="P10" s="27"/>
      <c r="Q10" s="27"/>
      <c r="R10" s="27"/>
      <c r="S10" s="27"/>
      <c r="T10" s="27"/>
      <c r="U10" s="27"/>
      <c r="V10" s="19"/>
      <c r="W10" s="19"/>
      <c r="X10" s="19"/>
      <c r="Y10" s="19"/>
      <c r="Z10" s="19"/>
      <c r="AA10" s="19"/>
      <c r="AB10" s="19"/>
      <c r="AC10" s="19"/>
      <c r="AD10" s="19"/>
    </row>
    <row r="11" spans="1:30" x14ac:dyDescent="0.2">
      <c r="A11" s="16">
        <v>5</v>
      </c>
      <c r="B11" s="25"/>
      <c r="C11" s="26"/>
      <c r="D11" s="26"/>
      <c r="E11" s="26"/>
      <c r="F11" s="27"/>
      <c r="G11" s="26"/>
      <c r="H11" s="26"/>
      <c r="I11" s="26"/>
      <c r="J11" s="27"/>
      <c r="K11" s="26"/>
      <c r="L11" s="28"/>
      <c r="M11" s="27"/>
      <c r="N11" s="27"/>
      <c r="O11" s="27"/>
      <c r="P11" s="27"/>
      <c r="Q11" s="27"/>
      <c r="R11" s="27"/>
      <c r="S11" s="27"/>
      <c r="T11" s="27"/>
      <c r="U11" s="27"/>
      <c r="V11" s="4"/>
      <c r="W11" s="19"/>
      <c r="X11" s="19"/>
      <c r="Y11" s="19"/>
      <c r="Z11" s="19"/>
      <c r="AA11" s="19"/>
      <c r="AB11" s="19"/>
      <c r="AC11" s="19"/>
      <c r="AD11" s="19"/>
    </row>
    <row r="12" spans="1:30" x14ac:dyDescent="0.2">
      <c r="A12" s="16">
        <v>6</v>
      </c>
      <c r="B12" s="25"/>
      <c r="C12" s="26"/>
      <c r="D12" s="26"/>
      <c r="E12" s="26"/>
      <c r="F12" s="27"/>
      <c r="G12" s="26"/>
      <c r="H12" s="26"/>
      <c r="I12" s="26"/>
      <c r="J12" s="27"/>
      <c r="K12" s="26"/>
      <c r="L12" s="28"/>
      <c r="M12" s="27"/>
      <c r="N12" s="27"/>
      <c r="O12" s="27"/>
      <c r="P12" s="27"/>
      <c r="Q12" s="27"/>
      <c r="R12" s="27"/>
      <c r="S12" s="27"/>
      <c r="T12" s="27"/>
      <c r="U12" s="27"/>
      <c r="V12" s="4"/>
      <c r="W12" s="19"/>
      <c r="X12" s="19"/>
      <c r="Y12" s="19"/>
      <c r="Z12" s="19"/>
      <c r="AA12" s="19"/>
      <c r="AB12" s="19"/>
      <c r="AC12" s="19"/>
      <c r="AD12" s="19"/>
    </row>
    <row r="13" spans="1:30" x14ac:dyDescent="0.2">
      <c r="A13" s="16">
        <v>7</v>
      </c>
      <c r="B13" s="25"/>
      <c r="C13" s="26"/>
      <c r="D13" s="26"/>
      <c r="E13" s="26"/>
      <c r="F13" s="27"/>
      <c r="G13" s="26"/>
      <c r="H13" s="26"/>
      <c r="I13" s="26"/>
      <c r="J13" s="27"/>
      <c r="K13" s="26"/>
      <c r="L13" s="28"/>
      <c r="M13" s="27"/>
      <c r="N13" s="27"/>
      <c r="O13" s="27"/>
      <c r="P13" s="27"/>
      <c r="Q13" s="27"/>
      <c r="R13" s="27"/>
      <c r="S13" s="27"/>
      <c r="T13" s="27"/>
      <c r="U13" s="27"/>
      <c r="V13" s="4"/>
    </row>
    <row r="14" spans="1:30" x14ac:dyDescent="0.2">
      <c r="A14" s="16">
        <v>8</v>
      </c>
      <c r="B14" s="25"/>
      <c r="C14" s="26"/>
      <c r="D14" s="26"/>
      <c r="E14" s="26"/>
      <c r="F14" s="27"/>
      <c r="G14" s="26"/>
      <c r="H14" s="26"/>
      <c r="I14" s="26"/>
      <c r="J14" s="27"/>
      <c r="K14" s="26"/>
      <c r="L14" s="28"/>
      <c r="M14" s="27"/>
      <c r="N14" s="27"/>
      <c r="O14" s="27"/>
      <c r="P14" s="27"/>
      <c r="Q14" s="27"/>
      <c r="R14" s="27"/>
      <c r="S14" s="27"/>
      <c r="T14" s="27"/>
      <c r="U14" s="27"/>
      <c r="V14" s="4"/>
    </row>
    <row r="15" spans="1:30" x14ac:dyDescent="0.2">
      <c r="A15" s="16">
        <v>9</v>
      </c>
      <c r="B15" s="25"/>
      <c r="C15" s="26"/>
      <c r="D15" s="26"/>
      <c r="E15" s="26"/>
      <c r="F15" s="27"/>
      <c r="G15" s="26"/>
      <c r="H15" s="26"/>
      <c r="I15" s="26"/>
      <c r="J15" s="27"/>
      <c r="K15" s="26"/>
      <c r="L15" s="28"/>
      <c r="M15" s="27"/>
      <c r="N15" s="27"/>
      <c r="O15" s="27"/>
      <c r="P15" s="27"/>
      <c r="Q15" s="27"/>
      <c r="R15" s="27"/>
      <c r="S15" s="27"/>
      <c r="T15" s="27"/>
      <c r="U15" s="27"/>
      <c r="V15" s="4"/>
    </row>
    <row r="16" spans="1:30" x14ac:dyDescent="0.2">
      <c r="A16" s="16">
        <v>10</v>
      </c>
      <c r="B16" s="25"/>
      <c r="C16" s="26"/>
      <c r="D16" s="26"/>
      <c r="E16" s="26"/>
      <c r="F16" s="27"/>
      <c r="G16" s="26"/>
      <c r="H16" s="26"/>
      <c r="I16" s="26"/>
      <c r="J16" s="27"/>
      <c r="K16" s="26"/>
      <c r="L16" s="28"/>
      <c r="M16" s="27"/>
      <c r="N16" s="27"/>
      <c r="O16" s="27"/>
      <c r="P16" s="27"/>
      <c r="Q16" s="27"/>
      <c r="R16" s="27"/>
      <c r="S16" s="27"/>
      <c r="T16" s="27"/>
      <c r="U16" s="27"/>
      <c r="V16" s="4"/>
    </row>
    <row r="17" spans="1:22" x14ac:dyDescent="0.2">
      <c r="A17" s="16">
        <v>11</v>
      </c>
      <c r="B17" s="25"/>
      <c r="C17" s="26"/>
      <c r="D17" s="26"/>
      <c r="E17" s="26"/>
      <c r="F17" s="27"/>
      <c r="G17" s="26"/>
      <c r="H17" s="26"/>
      <c r="I17" s="26"/>
      <c r="J17" s="27"/>
      <c r="K17" s="26"/>
      <c r="L17" s="28"/>
      <c r="M17" s="27"/>
      <c r="N17" s="27"/>
      <c r="O17" s="27"/>
      <c r="P17" s="27"/>
      <c r="Q17" s="27"/>
      <c r="R17" s="27"/>
      <c r="S17" s="27"/>
      <c r="T17" s="27"/>
      <c r="U17" s="27"/>
      <c r="V17" s="4"/>
    </row>
    <row r="18" spans="1:22" x14ac:dyDescent="0.2">
      <c r="A18" s="16">
        <v>12</v>
      </c>
      <c r="B18" s="25"/>
      <c r="C18" s="26"/>
      <c r="D18" s="26"/>
      <c r="E18" s="26"/>
      <c r="F18" s="27"/>
      <c r="G18" s="26"/>
      <c r="H18" s="26"/>
      <c r="I18" s="26"/>
      <c r="J18" s="27"/>
      <c r="K18" s="26"/>
      <c r="L18" s="28"/>
      <c r="M18" s="27"/>
      <c r="N18" s="27"/>
      <c r="O18" s="27"/>
      <c r="P18" s="27"/>
      <c r="Q18" s="27"/>
      <c r="R18" s="27"/>
      <c r="S18" s="27"/>
      <c r="T18" s="27"/>
      <c r="U18" s="27"/>
      <c r="V18" s="4"/>
    </row>
    <row r="19" spans="1:22" x14ac:dyDescent="0.2">
      <c r="A19" s="16">
        <v>13</v>
      </c>
      <c r="B19" s="25"/>
      <c r="C19" s="26"/>
      <c r="D19" s="26"/>
      <c r="E19" s="26"/>
      <c r="F19" s="27"/>
      <c r="G19" s="26"/>
      <c r="H19" s="26"/>
      <c r="I19" s="26"/>
      <c r="J19" s="27"/>
      <c r="K19" s="26"/>
      <c r="L19" s="28"/>
      <c r="M19" s="27"/>
      <c r="N19" s="27"/>
      <c r="O19" s="27"/>
      <c r="P19" s="27"/>
      <c r="Q19" s="27"/>
      <c r="R19" s="27"/>
      <c r="S19" s="27"/>
      <c r="T19" s="27"/>
      <c r="U19" s="27"/>
      <c r="V19" s="4"/>
    </row>
    <row r="20" spans="1:22" x14ac:dyDescent="0.2">
      <c r="A20" s="16">
        <v>14</v>
      </c>
      <c r="B20" s="25"/>
      <c r="C20" s="26"/>
      <c r="D20" s="26"/>
      <c r="E20" s="26"/>
      <c r="F20" s="27"/>
      <c r="G20" s="26"/>
      <c r="H20" s="26"/>
      <c r="I20" s="26"/>
      <c r="J20" s="27"/>
      <c r="K20" s="26"/>
      <c r="L20" s="28"/>
      <c r="M20" s="27"/>
      <c r="N20" s="27"/>
      <c r="O20" s="27"/>
      <c r="P20" s="27"/>
      <c r="Q20" s="27"/>
      <c r="R20" s="27"/>
      <c r="S20" s="27"/>
      <c r="T20" s="27"/>
      <c r="U20" s="27"/>
      <c r="V20" s="19"/>
    </row>
    <row r="21" spans="1:22" x14ac:dyDescent="0.2">
      <c r="A21" s="16">
        <v>15</v>
      </c>
      <c r="B21" s="25"/>
      <c r="C21" s="26"/>
      <c r="D21" s="26"/>
      <c r="E21" s="26"/>
      <c r="F21" s="27"/>
      <c r="G21" s="26"/>
      <c r="H21" s="26"/>
      <c r="I21" s="26"/>
      <c r="J21" s="27"/>
      <c r="K21" s="26"/>
      <c r="L21" s="28"/>
      <c r="M21" s="27"/>
      <c r="N21" s="27"/>
      <c r="O21" s="27"/>
      <c r="P21" s="27"/>
      <c r="Q21" s="27"/>
      <c r="R21" s="27"/>
      <c r="S21" s="27"/>
      <c r="T21" s="27"/>
      <c r="U21" s="27"/>
      <c r="V21" s="19"/>
    </row>
    <row r="22" spans="1:22" x14ac:dyDescent="0.2">
      <c r="A22" s="16">
        <v>16</v>
      </c>
      <c r="B22" s="25"/>
      <c r="C22" s="26"/>
      <c r="D22" s="26"/>
      <c r="E22" s="26"/>
      <c r="F22" s="27"/>
      <c r="G22" s="26"/>
      <c r="H22" s="26"/>
      <c r="I22" s="26"/>
      <c r="J22" s="27"/>
      <c r="K22" s="26"/>
      <c r="L22" s="28"/>
      <c r="M22" s="27"/>
      <c r="N22" s="27"/>
      <c r="O22" s="27"/>
      <c r="P22" s="27"/>
      <c r="Q22" s="27"/>
      <c r="R22" s="27"/>
      <c r="S22" s="27"/>
      <c r="T22" s="27"/>
      <c r="U22" s="27"/>
      <c r="V22" s="19"/>
    </row>
    <row r="23" spans="1:22" x14ac:dyDescent="0.2">
      <c r="A23" s="16">
        <v>17</v>
      </c>
      <c r="B23" s="25"/>
      <c r="C23" s="26"/>
      <c r="D23" s="26"/>
      <c r="E23" s="26"/>
      <c r="F23" s="27"/>
      <c r="G23" s="26"/>
      <c r="H23" s="26"/>
      <c r="I23" s="26"/>
      <c r="J23" s="27"/>
      <c r="K23" s="26"/>
      <c r="L23" s="28"/>
      <c r="M23" s="27"/>
      <c r="N23" s="27"/>
      <c r="O23" s="27"/>
      <c r="P23" s="27"/>
      <c r="Q23" s="27"/>
      <c r="R23" s="27"/>
      <c r="S23" s="27"/>
      <c r="T23" s="27"/>
      <c r="U23" s="27"/>
      <c r="V23" s="19"/>
    </row>
    <row r="24" spans="1:22" x14ac:dyDescent="0.2">
      <c r="A24" s="16">
        <v>18</v>
      </c>
      <c r="B24" s="25"/>
      <c r="C24" s="26"/>
      <c r="D24" s="26"/>
      <c r="E24" s="26"/>
      <c r="F24" s="27"/>
      <c r="G24" s="26"/>
      <c r="H24" s="26"/>
      <c r="I24" s="26"/>
      <c r="J24" s="27"/>
      <c r="K24" s="26"/>
      <c r="L24" s="28"/>
      <c r="M24" s="27"/>
      <c r="N24" s="27"/>
      <c r="O24" s="27"/>
      <c r="P24" s="27"/>
      <c r="Q24" s="27"/>
      <c r="R24" s="27"/>
      <c r="S24" s="27"/>
      <c r="T24" s="27"/>
      <c r="U24" s="27"/>
      <c r="V24" s="19"/>
    </row>
    <row r="25" spans="1:22" x14ac:dyDescent="0.2">
      <c r="A25" s="16">
        <v>19</v>
      </c>
      <c r="B25" s="25"/>
      <c r="C25" s="26"/>
      <c r="D25" s="26"/>
      <c r="E25" s="26"/>
      <c r="F25" s="27"/>
      <c r="G25" s="26"/>
      <c r="H25" s="26"/>
      <c r="I25" s="26"/>
      <c r="J25" s="27"/>
      <c r="K25" s="26"/>
      <c r="L25" s="28"/>
      <c r="M25" s="27"/>
      <c r="N25" s="27"/>
      <c r="O25" s="27"/>
      <c r="P25" s="27"/>
      <c r="Q25" s="27"/>
      <c r="R25" s="27"/>
      <c r="S25" s="27"/>
      <c r="T25" s="27"/>
      <c r="U25" s="27"/>
      <c r="V25" s="19"/>
    </row>
    <row r="26" spans="1:22" x14ac:dyDescent="0.2">
      <c r="A26" s="16">
        <v>20</v>
      </c>
      <c r="B26" s="25"/>
      <c r="C26" s="26"/>
      <c r="D26" s="26"/>
      <c r="E26" s="26"/>
      <c r="F26" s="27"/>
      <c r="G26" s="26"/>
      <c r="H26" s="26"/>
      <c r="I26" s="26"/>
      <c r="J26" s="27"/>
      <c r="K26" s="26"/>
      <c r="L26" s="28"/>
      <c r="M26" s="27"/>
      <c r="N26" s="27"/>
      <c r="O26" s="27"/>
      <c r="P26" s="27"/>
      <c r="Q26" s="27"/>
      <c r="R26" s="27"/>
      <c r="S26" s="27"/>
      <c r="T26" s="27"/>
      <c r="U26" s="27"/>
      <c r="V26" s="19"/>
    </row>
    <row r="27" spans="1:22" x14ac:dyDescent="0.2">
      <c r="A27" s="16">
        <v>21</v>
      </c>
      <c r="B27" s="25"/>
      <c r="C27" s="26"/>
      <c r="D27" s="26"/>
      <c r="E27" s="26"/>
      <c r="F27" s="27"/>
      <c r="G27" s="26"/>
      <c r="H27" s="26"/>
      <c r="I27" s="26"/>
      <c r="J27" s="27"/>
      <c r="K27" s="26"/>
      <c r="L27" s="28"/>
      <c r="M27" s="27"/>
      <c r="N27" s="27"/>
      <c r="O27" s="27"/>
      <c r="P27" s="27"/>
      <c r="Q27" s="27"/>
      <c r="R27" s="27"/>
      <c r="S27" s="27"/>
      <c r="T27" s="27"/>
      <c r="U27" s="27"/>
      <c r="V27" s="19"/>
    </row>
    <row r="28" spans="1:22" x14ac:dyDescent="0.2">
      <c r="A28" s="16">
        <v>22</v>
      </c>
      <c r="B28" s="25"/>
      <c r="C28" s="26"/>
      <c r="D28" s="26"/>
      <c r="E28" s="26"/>
      <c r="F28" s="27"/>
      <c r="G28" s="26"/>
      <c r="H28" s="26"/>
      <c r="I28" s="26"/>
      <c r="J28" s="27"/>
      <c r="K28" s="26"/>
      <c r="L28" s="28"/>
      <c r="M28" s="27"/>
      <c r="N28" s="27"/>
      <c r="O28" s="27"/>
      <c r="P28" s="27"/>
      <c r="Q28" s="27"/>
      <c r="R28" s="27"/>
      <c r="S28" s="27"/>
      <c r="T28" s="27"/>
      <c r="U28" s="27"/>
      <c r="V28" s="19"/>
    </row>
    <row r="29" spans="1:22" x14ac:dyDescent="0.2">
      <c r="A29" s="16">
        <v>23</v>
      </c>
      <c r="B29" s="25"/>
      <c r="C29" s="26"/>
      <c r="D29" s="26"/>
      <c r="E29" s="26"/>
      <c r="F29" s="27"/>
      <c r="G29" s="26"/>
      <c r="H29" s="26"/>
      <c r="I29" s="26"/>
      <c r="J29" s="27"/>
      <c r="K29" s="26"/>
      <c r="L29" s="28"/>
      <c r="M29" s="27"/>
      <c r="N29" s="27"/>
      <c r="O29" s="27"/>
      <c r="P29" s="27"/>
      <c r="Q29" s="27"/>
      <c r="R29" s="27"/>
      <c r="S29" s="27"/>
      <c r="T29" s="27"/>
      <c r="U29" s="27"/>
      <c r="V29" s="19"/>
    </row>
    <row r="30" spans="1:22" x14ac:dyDescent="0.2">
      <c r="A30" s="16">
        <v>24</v>
      </c>
      <c r="B30" s="25"/>
      <c r="C30" s="26"/>
      <c r="D30" s="26"/>
      <c r="E30" s="26"/>
      <c r="F30" s="27"/>
      <c r="G30" s="26"/>
      <c r="H30" s="26"/>
      <c r="I30" s="26"/>
      <c r="J30" s="27"/>
      <c r="K30" s="26"/>
      <c r="L30" s="28"/>
      <c r="M30" s="27"/>
      <c r="N30" s="27"/>
      <c r="O30" s="27"/>
      <c r="P30" s="27"/>
      <c r="Q30" s="27"/>
      <c r="R30" s="27"/>
      <c r="S30" s="27"/>
      <c r="T30" s="27"/>
      <c r="U30" s="27"/>
      <c r="V30" s="19"/>
    </row>
    <row r="31" spans="1:22" x14ac:dyDescent="0.2">
      <c r="A31" s="16">
        <v>25</v>
      </c>
      <c r="B31" s="25"/>
      <c r="C31" s="26"/>
      <c r="D31" s="26"/>
      <c r="E31" s="26"/>
      <c r="F31" s="27"/>
      <c r="G31" s="26"/>
      <c r="H31" s="26"/>
      <c r="I31" s="26"/>
      <c r="J31" s="27"/>
      <c r="K31" s="26"/>
      <c r="L31" s="28"/>
      <c r="M31" s="27"/>
      <c r="N31" s="27"/>
      <c r="O31" s="27"/>
      <c r="P31" s="27"/>
      <c r="Q31" s="27"/>
      <c r="R31" s="27"/>
      <c r="S31" s="27"/>
      <c r="T31" s="27"/>
      <c r="U31" s="27"/>
      <c r="V31" s="19"/>
    </row>
    <row r="32" spans="1:22" x14ac:dyDescent="0.2">
      <c r="A32" s="16">
        <v>26</v>
      </c>
      <c r="B32" s="25"/>
      <c r="C32" s="26"/>
      <c r="D32" s="26"/>
      <c r="E32" s="26"/>
      <c r="F32" s="27"/>
      <c r="G32" s="26"/>
      <c r="H32" s="26"/>
      <c r="I32" s="26"/>
      <c r="J32" s="27"/>
      <c r="K32" s="26"/>
      <c r="L32" s="28"/>
      <c r="M32" s="27"/>
      <c r="N32" s="27"/>
      <c r="O32" s="27"/>
      <c r="P32" s="27"/>
      <c r="Q32" s="27"/>
      <c r="R32" s="27"/>
      <c r="S32" s="27"/>
      <c r="T32" s="27"/>
      <c r="U32" s="27"/>
      <c r="V32" s="19"/>
    </row>
    <row r="33" spans="1:22" x14ac:dyDescent="0.2">
      <c r="A33" s="16">
        <v>27</v>
      </c>
      <c r="B33" s="25"/>
      <c r="C33" s="26"/>
      <c r="D33" s="26"/>
      <c r="E33" s="26"/>
      <c r="F33" s="27"/>
      <c r="G33" s="26"/>
      <c r="H33" s="26"/>
      <c r="I33" s="26"/>
      <c r="J33" s="27"/>
      <c r="K33" s="26"/>
      <c r="L33" s="28"/>
      <c r="M33" s="27"/>
      <c r="N33" s="27"/>
      <c r="O33" s="27"/>
      <c r="P33" s="27"/>
      <c r="Q33" s="27"/>
      <c r="R33" s="27"/>
      <c r="S33" s="27"/>
      <c r="T33" s="27"/>
      <c r="U33" s="27"/>
      <c r="V33" s="19"/>
    </row>
    <row r="34" spans="1:22" x14ac:dyDescent="0.2">
      <c r="A34" s="16">
        <v>28</v>
      </c>
      <c r="B34" s="25"/>
      <c r="C34" s="26"/>
      <c r="D34" s="26"/>
      <c r="E34" s="26"/>
      <c r="F34" s="27"/>
      <c r="G34" s="26"/>
      <c r="H34" s="26"/>
      <c r="I34" s="26"/>
      <c r="J34" s="27"/>
      <c r="K34" s="26"/>
      <c r="L34" s="28"/>
      <c r="M34" s="27"/>
      <c r="N34" s="27"/>
      <c r="O34" s="27"/>
      <c r="P34" s="27"/>
      <c r="Q34" s="27"/>
      <c r="R34" s="27"/>
      <c r="S34" s="27"/>
      <c r="T34" s="27"/>
      <c r="U34" s="27"/>
      <c r="V34" s="19"/>
    </row>
    <row r="35" spans="1:22" x14ac:dyDescent="0.2">
      <c r="A35" s="16">
        <v>29</v>
      </c>
      <c r="B35" s="25"/>
      <c r="C35" s="26"/>
      <c r="D35" s="26"/>
      <c r="E35" s="26"/>
      <c r="F35" s="27"/>
      <c r="G35" s="26"/>
      <c r="H35" s="26"/>
      <c r="I35" s="26"/>
      <c r="J35" s="27"/>
      <c r="K35" s="26"/>
      <c r="L35" s="28"/>
      <c r="M35" s="27"/>
      <c r="N35" s="27"/>
      <c r="O35" s="27"/>
      <c r="P35" s="27"/>
      <c r="Q35" s="27"/>
      <c r="R35" s="27"/>
      <c r="S35" s="27"/>
      <c r="T35" s="27"/>
      <c r="U35" s="27"/>
      <c r="V35" s="19"/>
    </row>
    <row r="36" spans="1:22" x14ac:dyDescent="0.2">
      <c r="A36" s="16">
        <v>30</v>
      </c>
      <c r="B36" s="25"/>
      <c r="C36" s="26"/>
      <c r="D36" s="26"/>
      <c r="E36" s="26"/>
      <c r="F36" s="27"/>
      <c r="G36" s="26"/>
      <c r="H36" s="26"/>
      <c r="I36" s="26"/>
      <c r="J36" s="27"/>
      <c r="K36" s="26"/>
      <c r="L36" s="28"/>
      <c r="M36" s="27"/>
      <c r="N36" s="27"/>
      <c r="O36" s="27"/>
      <c r="P36" s="27"/>
      <c r="Q36" s="27"/>
      <c r="R36" s="27"/>
      <c r="S36" s="27"/>
      <c r="T36" s="27"/>
      <c r="U36" s="27"/>
      <c r="V36" s="19"/>
    </row>
    <row r="37" spans="1:22" x14ac:dyDescent="0.2">
      <c r="A37" s="16">
        <v>31</v>
      </c>
      <c r="B37" s="25"/>
      <c r="C37" s="26"/>
      <c r="D37" s="26"/>
      <c r="E37" s="26"/>
      <c r="F37" s="27"/>
      <c r="G37" s="26"/>
      <c r="H37" s="26"/>
      <c r="I37" s="26"/>
      <c r="J37" s="27"/>
      <c r="K37" s="26"/>
      <c r="L37" s="28"/>
      <c r="M37" s="27"/>
      <c r="N37" s="27"/>
      <c r="O37" s="27"/>
      <c r="P37" s="27"/>
      <c r="Q37" s="27"/>
      <c r="R37" s="27"/>
      <c r="S37" s="27"/>
      <c r="T37" s="27"/>
      <c r="U37" s="27"/>
      <c r="V37" s="19"/>
    </row>
    <row r="38" spans="1:22" x14ac:dyDescent="0.2">
      <c r="A38" s="16">
        <v>32</v>
      </c>
      <c r="B38" s="25"/>
      <c r="C38" s="26"/>
      <c r="D38" s="26"/>
      <c r="E38" s="26"/>
      <c r="F38" s="27"/>
      <c r="G38" s="26"/>
      <c r="H38" s="26"/>
      <c r="I38" s="26"/>
      <c r="J38" s="27"/>
      <c r="K38" s="26"/>
      <c r="L38" s="28"/>
      <c r="M38" s="27"/>
      <c r="N38" s="27"/>
      <c r="O38" s="27"/>
      <c r="P38" s="27"/>
      <c r="Q38" s="27"/>
      <c r="R38" s="27"/>
      <c r="S38" s="27"/>
      <c r="T38" s="27"/>
      <c r="U38" s="27"/>
      <c r="V38" s="19"/>
    </row>
    <row r="39" spans="1:22" x14ac:dyDescent="0.2">
      <c r="A39" s="16">
        <v>33</v>
      </c>
      <c r="B39" s="25"/>
      <c r="C39" s="26"/>
      <c r="D39" s="26"/>
      <c r="E39" s="26"/>
      <c r="F39" s="27"/>
      <c r="G39" s="26"/>
      <c r="H39" s="26"/>
      <c r="I39" s="26"/>
      <c r="J39" s="27"/>
      <c r="K39" s="26"/>
      <c r="L39" s="28"/>
      <c r="M39" s="27"/>
      <c r="N39" s="27"/>
      <c r="O39" s="27"/>
      <c r="P39" s="27"/>
      <c r="Q39" s="27"/>
      <c r="R39" s="27"/>
      <c r="S39" s="27"/>
      <c r="T39" s="27"/>
      <c r="U39" s="27"/>
      <c r="V39" s="19"/>
    </row>
    <row r="40" spans="1:22" x14ac:dyDescent="0.2">
      <c r="A40" s="16">
        <v>34</v>
      </c>
      <c r="B40" s="25"/>
      <c r="C40" s="26"/>
      <c r="D40" s="26"/>
      <c r="E40" s="26"/>
      <c r="F40" s="27"/>
      <c r="G40" s="26"/>
      <c r="H40" s="26"/>
      <c r="I40" s="26"/>
      <c r="J40" s="27"/>
      <c r="K40" s="26"/>
      <c r="L40" s="28"/>
      <c r="M40" s="27"/>
      <c r="N40" s="27"/>
      <c r="O40" s="27"/>
      <c r="P40" s="27"/>
      <c r="Q40" s="27"/>
      <c r="R40" s="27"/>
      <c r="S40" s="27"/>
      <c r="T40" s="27"/>
      <c r="U40" s="27"/>
      <c r="V40" s="19"/>
    </row>
    <row r="41" spans="1:22" x14ac:dyDescent="0.2">
      <c r="A41" s="16">
        <v>35</v>
      </c>
      <c r="B41" s="25"/>
      <c r="C41" s="26"/>
      <c r="D41" s="26"/>
      <c r="E41" s="26"/>
      <c r="F41" s="27"/>
      <c r="G41" s="26"/>
      <c r="H41" s="26"/>
      <c r="I41" s="26"/>
      <c r="J41" s="27"/>
      <c r="K41" s="26"/>
      <c r="L41" s="28"/>
      <c r="M41" s="27"/>
      <c r="N41" s="27"/>
      <c r="O41" s="27"/>
      <c r="P41" s="27"/>
      <c r="Q41" s="27"/>
      <c r="R41" s="27"/>
      <c r="S41" s="27"/>
      <c r="T41" s="27"/>
      <c r="U41" s="27"/>
      <c r="V41" s="19"/>
    </row>
    <row r="42" spans="1:22" x14ac:dyDescent="0.2">
      <c r="A42" s="16">
        <v>36</v>
      </c>
      <c r="B42" s="25"/>
      <c r="C42" s="26"/>
      <c r="D42" s="26"/>
      <c r="E42" s="26"/>
      <c r="F42" s="27"/>
      <c r="G42" s="26"/>
      <c r="H42" s="26"/>
      <c r="I42" s="26"/>
      <c r="J42" s="27"/>
      <c r="K42" s="26"/>
      <c r="L42" s="28"/>
      <c r="M42" s="27"/>
      <c r="N42" s="27"/>
      <c r="O42" s="27"/>
      <c r="P42" s="27"/>
      <c r="Q42" s="27"/>
      <c r="R42" s="27"/>
      <c r="S42" s="27"/>
      <c r="T42" s="27"/>
      <c r="U42" s="27"/>
      <c r="V42" s="19"/>
    </row>
    <row r="43" spans="1:22" x14ac:dyDescent="0.2">
      <c r="A43" s="16">
        <v>37</v>
      </c>
      <c r="B43" s="25"/>
      <c r="C43" s="26"/>
      <c r="D43" s="26"/>
      <c r="E43" s="26"/>
      <c r="F43" s="27"/>
      <c r="G43" s="26"/>
      <c r="H43" s="26"/>
      <c r="I43" s="26"/>
      <c r="J43" s="27"/>
      <c r="K43" s="26"/>
      <c r="L43" s="28"/>
      <c r="M43" s="27"/>
      <c r="N43" s="27"/>
      <c r="O43" s="27"/>
      <c r="P43" s="27"/>
      <c r="Q43" s="27"/>
      <c r="R43" s="27"/>
      <c r="S43" s="27"/>
      <c r="T43" s="27"/>
      <c r="U43" s="27"/>
      <c r="V43" s="19"/>
    </row>
    <row r="44" spans="1:22" x14ac:dyDescent="0.2">
      <c r="A44" s="16">
        <v>38</v>
      </c>
      <c r="B44" s="25"/>
      <c r="C44" s="26"/>
      <c r="D44" s="26"/>
      <c r="E44" s="26"/>
      <c r="F44" s="27"/>
      <c r="G44" s="26"/>
      <c r="H44" s="26"/>
      <c r="I44" s="26"/>
      <c r="J44" s="27"/>
      <c r="K44" s="26"/>
      <c r="L44" s="28"/>
      <c r="M44" s="27"/>
      <c r="N44" s="27"/>
      <c r="O44" s="27"/>
      <c r="P44" s="27"/>
      <c r="Q44" s="27"/>
      <c r="R44" s="27"/>
      <c r="S44" s="27"/>
      <c r="T44" s="27"/>
      <c r="U44" s="27"/>
      <c r="V44" s="19"/>
    </row>
    <row r="45" spans="1:22" x14ac:dyDescent="0.2">
      <c r="A45" s="16">
        <v>39</v>
      </c>
      <c r="B45" s="25"/>
      <c r="C45" s="26"/>
      <c r="D45" s="26"/>
      <c r="E45" s="26"/>
      <c r="F45" s="27"/>
      <c r="G45" s="26"/>
      <c r="H45" s="26"/>
      <c r="I45" s="26"/>
      <c r="J45" s="27"/>
      <c r="K45" s="26"/>
      <c r="L45" s="28"/>
      <c r="M45" s="27"/>
      <c r="N45" s="27"/>
      <c r="O45" s="27"/>
      <c r="P45" s="27"/>
      <c r="Q45" s="27"/>
      <c r="R45" s="27"/>
      <c r="S45" s="27"/>
      <c r="T45" s="27"/>
      <c r="U45" s="27"/>
      <c r="V45" s="19"/>
    </row>
    <row r="46" spans="1:22" x14ac:dyDescent="0.2">
      <c r="A46" s="16">
        <v>40</v>
      </c>
      <c r="B46" s="25"/>
      <c r="C46" s="26"/>
      <c r="D46" s="26"/>
      <c r="E46" s="26"/>
      <c r="F46" s="27"/>
      <c r="G46" s="26"/>
      <c r="H46" s="26"/>
      <c r="I46" s="26"/>
      <c r="J46" s="27"/>
      <c r="K46" s="26"/>
      <c r="L46" s="28"/>
      <c r="M46" s="27"/>
      <c r="N46" s="27"/>
      <c r="O46" s="27"/>
      <c r="P46" s="27"/>
      <c r="Q46" s="27"/>
      <c r="R46" s="27"/>
      <c r="S46" s="27"/>
      <c r="T46" s="27"/>
      <c r="U46" s="27"/>
      <c r="V46" s="19"/>
    </row>
    <row r="47" spans="1:22" x14ac:dyDescent="0.2">
      <c r="A47" s="16">
        <v>41</v>
      </c>
      <c r="B47" s="25"/>
      <c r="C47" s="26"/>
      <c r="D47" s="26"/>
      <c r="E47" s="26"/>
      <c r="F47" s="27"/>
      <c r="G47" s="26"/>
      <c r="H47" s="26"/>
      <c r="I47" s="26"/>
      <c r="J47" s="27"/>
      <c r="K47" s="26"/>
      <c r="L47" s="28"/>
      <c r="M47" s="27"/>
      <c r="N47" s="27"/>
      <c r="O47" s="27"/>
      <c r="P47" s="27"/>
      <c r="Q47" s="27"/>
      <c r="R47" s="27"/>
      <c r="S47" s="27"/>
      <c r="T47" s="27"/>
      <c r="U47" s="27"/>
      <c r="V47" s="19"/>
    </row>
    <row r="48" spans="1:22" x14ac:dyDescent="0.2">
      <c r="A48" s="16">
        <v>42</v>
      </c>
      <c r="B48" s="25"/>
      <c r="C48" s="26"/>
      <c r="D48" s="26"/>
      <c r="E48" s="26"/>
      <c r="F48" s="27"/>
      <c r="G48" s="26"/>
      <c r="H48" s="26"/>
      <c r="I48" s="26"/>
      <c r="J48" s="27"/>
      <c r="K48" s="26"/>
      <c r="L48" s="28"/>
      <c r="M48" s="27"/>
      <c r="N48" s="27"/>
      <c r="O48" s="27"/>
      <c r="P48" s="27"/>
      <c r="Q48" s="27"/>
      <c r="R48" s="27"/>
      <c r="S48" s="27"/>
      <c r="T48" s="27"/>
      <c r="U48" s="27"/>
      <c r="V48" s="19"/>
    </row>
    <row r="49" spans="1:22" x14ac:dyDescent="0.2">
      <c r="A49" s="16">
        <v>43</v>
      </c>
      <c r="B49" s="25"/>
      <c r="C49" s="26"/>
      <c r="D49" s="26"/>
      <c r="E49" s="26"/>
      <c r="F49" s="27"/>
      <c r="G49" s="26"/>
      <c r="H49" s="26"/>
      <c r="I49" s="26"/>
      <c r="J49" s="27"/>
      <c r="K49" s="26"/>
      <c r="L49" s="28"/>
      <c r="M49" s="27"/>
      <c r="N49" s="27"/>
      <c r="O49" s="27"/>
      <c r="P49" s="27"/>
      <c r="Q49" s="27"/>
      <c r="R49" s="27"/>
      <c r="S49" s="27"/>
      <c r="T49" s="27"/>
      <c r="U49" s="27"/>
      <c r="V49" s="19"/>
    </row>
    <row r="50" spans="1:22" x14ac:dyDescent="0.2">
      <c r="A50" s="16">
        <v>44</v>
      </c>
      <c r="B50" s="25"/>
      <c r="C50" s="26"/>
      <c r="D50" s="26"/>
      <c r="E50" s="26"/>
      <c r="F50" s="27"/>
      <c r="G50" s="26"/>
      <c r="H50" s="26"/>
      <c r="I50" s="26"/>
      <c r="J50" s="27"/>
      <c r="K50" s="26"/>
      <c r="L50" s="28"/>
      <c r="M50" s="27"/>
      <c r="N50" s="27"/>
      <c r="O50" s="27"/>
      <c r="P50" s="27"/>
      <c r="Q50" s="27"/>
      <c r="R50" s="27"/>
      <c r="S50" s="27"/>
      <c r="T50" s="27"/>
      <c r="U50" s="27"/>
      <c r="V50" s="19"/>
    </row>
    <row r="51" spans="1:22" x14ac:dyDescent="0.2">
      <c r="A51" s="16">
        <v>45</v>
      </c>
      <c r="B51" s="25"/>
      <c r="C51" s="26"/>
      <c r="D51" s="26"/>
      <c r="E51" s="26"/>
      <c r="F51" s="27"/>
      <c r="G51" s="26"/>
      <c r="H51" s="26"/>
      <c r="I51" s="26"/>
      <c r="J51" s="27"/>
      <c r="K51" s="26"/>
      <c r="L51" s="28"/>
      <c r="M51" s="27"/>
      <c r="N51" s="27"/>
      <c r="O51" s="27"/>
      <c r="P51" s="27"/>
      <c r="Q51" s="27"/>
      <c r="R51" s="27"/>
      <c r="S51" s="27"/>
      <c r="T51" s="27"/>
      <c r="U51" s="27"/>
      <c r="V51" s="19"/>
    </row>
    <row r="52" spans="1:22" x14ac:dyDescent="0.2">
      <c r="A52" s="16">
        <v>46</v>
      </c>
      <c r="B52" s="25"/>
      <c r="C52" s="26"/>
      <c r="D52" s="26"/>
      <c r="E52" s="26"/>
      <c r="F52" s="27"/>
      <c r="G52" s="26"/>
      <c r="H52" s="26"/>
      <c r="I52" s="26"/>
      <c r="J52" s="27"/>
      <c r="K52" s="26"/>
      <c r="L52" s="28"/>
      <c r="M52" s="27"/>
      <c r="N52" s="27"/>
      <c r="O52" s="27"/>
      <c r="P52" s="27"/>
      <c r="Q52" s="27"/>
      <c r="R52" s="27"/>
      <c r="S52" s="27"/>
      <c r="T52" s="27"/>
      <c r="U52" s="27"/>
      <c r="V52" s="19"/>
    </row>
    <row r="53" spans="1:22" x14ac:dyDescent="0.2">
      <c r="A53" s="16">
        <v>47</v>
      </c>
      <c r="B53" s="25"/>
      <c r="C53" s="26"/>
      <c r="D53" s="26"/>
      <c r="E53" s="26"/>
      <c r="F53" s="27"/>
      <c r="G53" s="26"/>
      <c r="H53" s="26"/>
      <c r="I53" s="26"/>
      <c r="J53" s="27"/>
      <c r="K53" s="26"/>
      <c r="L53" s="28"/>
      <c r="M53" s="27"/>
      <c r="N53" s="27"/>
      <c r="O53" s="27"/>
      <c r="P53" s="27"/>
      <c r="Q53" s="27"/>
      <c r="R53" s="27"/>
      <c r="S53" s="27"/>
      <c r="T53" s="27"/>
      <c r="U53" s="27"/>
      <c r="V53" s="19"/>
    </row>
    <row r="54" spans="1:22" x14ac:dyDescent="0.2">
      <c r="A54" s="16">
        <v>48</v>
      </c>
      <c r="B54" s="25"/>
      <c r="C54" s="26"/>
      <c r="D54" s="26"/>
      <c r="E54" s="26"/>
      <c r="F54" s="27"/>
      <c r="G54" s="26"/>
      <c r="H54" s="26"/>
      <c r="I54" s="26"/>
      <c r="J54" s="27"/>
      <c r="K54" s="26"/>
      <c r="L54" s="28"/>
      <c r="M54" s="27"/>
      <c r="N54" s="27"/>
      <c r="O54" s="27"/>
      <c r="P54" s="27"/>
      <c r="Q54" s="27"/>
      <c r="R54" s="27"/>
      <c r="S54" s="27"/>
      <c r="T54" s="27"/>
      <c r="U54" s="27"/>
      <c r="V54" s="19"/>
    </row>
    <row r="55" spans="1:22" x14ac:dyDescent="0.2">
      <c r="A55" s="16">
        <v>49</v>
      </c>
      <c r="B55" s="25"/>
      <c r="C55" s="26"/>
      <c r="D55" s="26"/>
      <c r="E55" s="26"/>
      <c r="F55" s="27"/>
      <c r="G55" s="26"/>
      <c r="H55" s="26"/>
      <c r="I55" s="26"/>
      <c r="J55" s="27"/>
      <c r="K55" s="26"/>
      <c r="L55" s="28"/>
      <c r="M55" s="27"/>
      <c r="N55" s="27"/>
      <c r="O55" s="27"/>
      <c r="P55" s="27"/>
      <c r="Q55" s="27"/>
      <c r="R55" s="27"/>
      <c r="S55" s="27"/>
      <c r="T55" s="27"/>
      <c r="U55" s="27"/>
      <c r="V55" s="19"/>
    </row>
    <row r="56" spans="1:22" x14ac:dyDescent="0.2">
      <c r="A56" s="16">
        <v>50</v>
      </c>
      <c r="B56" s="25"/>
      <c r="C56" s="26"/>
      <c r="D56" s="26"/>
      <c r="E56" s="26"/>
      <c r="F56" s="27"/>
      <c r="G56" s="26"/>
      <c r="H56" s="26"/>
      <c r="I56" s="26"/>
      <c r="J56" s="27"/>
      <c r="K56" s="26"/>
      <c r="L56" s="28"/>
      <c r="M56" s="27"/>
      <c r="N56" s="27"/>
      <c r="O56" s="27"/>
      <c r="P56" s="27"/>
      <c r="Q56" s="27"/>
      <c r="R56" s="27"/>
      <c r="S56" s="27"/>
      <c r="T56" s="27"/>
      <c r="U56" s="27"/>
      <c r="V56" s="19"/>
    </row>
    <row r="57" spans="1:22" x14ac:dyDescent="0.2">
      <c r="A57" s="16">
        <v>51</v>
      </c>
      <c r="B57" s="25"/>
      <c r="C57" s="26"/>
      <c r="D57" s="26"/>
      <c r="E57" s="26"/>
      <c r="F57" s="27"/>
      <c r="G57" s="26"/>
      <c r="H57" s="26"/>
      <c r="I57" s="26"/>
      <c r="J57" s="27"/>
      <c r="K57" s="26"/>
      <c r="L57" s="28"/>
      <c r="M57" s="27"/>
      <c r="N57" s="27"/>
      <c r="O57" s="27"/>
      <c r="P57" s="27"/>
      <c r="Q57" s="27"/>
      <c r="R57" s="27"/>
      <c r="S57" s="27"/>
      <c r="T57" s="27"/>
      <c r="U57" s="27"/>
      <c r="V57" s="19"/>
    </row>
    <row r="58" spans="1:22" x14ac:dyDescent="0.2">
      <c r="A58" s="16">
        <v>52</v>
      </c>
      <c r="B58" s="25"/>
      <c r="C58" s="26"/>
      <c r="D58" s="26"/>
      <c r="E58" s="26"/>
      <c r="F58" s="27"/>
      <c r="G58" s="26"/>
      <c r="H58" s="26"/>
      <c r="I58" s="26"/>
      <c r="J58" s="27"/>
      <c r="K58" s="26"/>
      <c r="L58" s="28"/>
      <c r="M58" s="27"/>
      <c r="N58" s="27"/>
      <c r="O58" s="27"/>
      <c r="P58" s="27"/>
      <c r="Q58" s="27"/>
      <c r="R58" s="27"/>
      <c r="S58" s="27"/>
      <c r="T58" s="27"/>
      <c r="U58" s="27"/>
      <c r="V58" s="19"/>
    </row>
    <row r="59" spans="1:22" x14ac:dyDescent="0.2">
      <c r="A59" s="16">
        <v>53</v>
      </c>
      <c r="B59" s="25"/>
      <c r="C59" s="26"/>
      <c r="D59" s="26"/>
      <c r="E59" s="26"/>
      <c r="F59" s="27"/>
      <c r="G59" s="26"/>
      <c r="H59" s="26"/>
      <c r="I59" s="26"/>
      <c r="J59" s="27"/>
      <c r="K59" s="26"/>
      <c r="L59" s="28"/>
      <c r="M59" s="27"/>
      <c r="N59" s="27"/>
      <c r="O59" s="27"/>
      <c r="P59" s="27"/>
      <c r="Q59" s="27"/>
      <c r="R59" s="27"/>
      <c r="S59" s="27"/>
      <c r="T59" s="27"/>
      <c r="U59" s="27"/>
      <c r="V59" s="19"/>
    </row>
    <row r="60" spans="1:22" x14ac:dyDescent="0.2">
      <c r="A60" s="16">
        <v>54</v>
      </c>
      <c r="B60" s="25"/>
      <c r="C60" s="26"/>
      <c r="D60" s="26"/>
      <c r="E60" s="26"/>
      <c r="F60" s="27"/>
      <c r="G60" s="26"/>
      <c r="H60" s="26"/>
      <c r="I60" s="26"/>
      <c r="J60" s="27"/>
      <c r="K60" s="26"/>
      <c r="L60" s="28"/>
      <c r="M60" s="27"/>
      <c r="N60" s="27"/>
      <c r="O60" s="27"/>
      <c r="P60" s="27"/>
      <c r="Q60" s="27"/>
      <c r="R60" s="27"/>
      <c r="S60" s="27"/>
      <c r="T60" s="27"/>
      <c r="U60" s="27"/>
      <c r="V60" s="19"/>
    </row>
    <row r="61" spans="1:22" x14ac:dyDescent="0.2">
      <c r="A61" s="16">
        <v>55</v>
      </c>
      <c r="B61" s="25"/>
      <c r="C61" s="26"/>
      <c r="D61" s="26"/>
      <c r="E61" s="26"/>
      <c r="F61" s="27"/>
      <c r="G61" s="26"/>
      <c r="H61" s="26"/>
      <c r="I61" s="26"/>
      <c r="J61" s="27"/>
      <c r="K61" s="26"/>
      <c r="L61" s="28"/>
      <c r="M61" s="27"/>
      <c r="N61" s="27"/>
      <c r="O61" s="27"/>
      <c r="P61" s="27"/>
      <c r="Q61" s="27"/>
      <c r="R61" s="27"/>
      <c r="S61" s="27"/>
      <c r="T61" s="27"/>
      <c r="U61" s="27"/>
      <c r="V61" s="19"/>
    </row>
    <row r="62" spans="1:22" x14ac:dyDescent="0.2">
      <c r="A62" s="16">
        <v>56</v>
      </c>
      <c r="B62" s="25"/>
      <c r="C62" s="26"/>
      <c r="D62" s="26"/>
      <c r="E62" s="26"/>
      <c r="F62" s="27"/>
      <c r="G62" s="26"/>
      <c r="H62" s="26"/>
      <c r="I62" s="26"/>
      <c r="J62" s="27"/>
      <c r="K62" s="26"/>
      <c r="L62" s="28"/>
      <c r="M62" s="27"/>
      <c r="N62" s="27"/>
      <c r="O62" s="27"/>
      <c r="P62" s="27"/>
      <c r="Q62" s="27"/>
      <c r="R62" s="27"/>
      <c r="S62" s="27"/>
      <c r="T62" s="27"/>
      <c r="U62" s="27"/>
      <c r="V62" s="19"/>
    </row>
    <row r="63" spans="1:22" x14ac:dyDescent="0.2">
      <c r="A63" s="16">
        <v>57</v>
      </c>
      <c r="B63" s="25"/>
      <c r="C63" s="26"/>
      <c r="D63" s="26"/>
      <c r="E63" s="26"/>
      <c r="F63" s="27"/>
      <c r="G63" s="26"/>
      <c r="H63" s="26"/>
      <c r="I63" s="26"/>
      <c r="J63" s="27"/>
      <c r="K63" s="26"/>
      <c r="L63" s="28"/>
      <c r="M63" s="27"/>
      <c r="N63" s="27"/>
      <c r="O63" s="27"/>
      <c r="P63" s="27"/>
      <c r="Q63" s="27"/>
      <c r="R63" s="27"/>
      <c r="S63" s="27"/>
      <c r="T63" s="27"/>
      <c r="U63" s="27"/>
      <c r="V63" s="19"/>
    </row>
    <row r="64" spans="1:22" x14ac:dyDescent="0.2">
      <c r="A64" s="16">
        <v>58</v>
      </c>
      <c r="B64" s="25"/>
      <c r="C64" s="26"/>
      <c r="D64" s="26"/>
      <c r="E64" s="26"/>
      <c r="F64" s="27"/>
      <c r="G64" s="26"/>
      <c r="H64" s="26"/>
      <c r="I64" s="26"/>
      <c r="J64" s="27"/>
      <c r="K64" s="26"/>
      <c r="L64" s="28"/>
      <c r="M64" s="27"/>
      <c r="N64" s="27"/>
      <c r="O64" s="27"/>
      <c r="P64" s="27"/>
      <c r="Q64" s="27"/>
      <c r="R64" s="27"/>
      <c r="S64" s="27"/>
      <c r="T64" s="27"/>
      <c r="U64" s="27"/>
      <c r="V64" s="19"/>
    </row>
    <row r="65" spans="1:22" x14ac:dyDescent="0.2">
      <c r="A65" s="16">
        <v>59</v>
      </c>
      <c r="B65" s="25"/>
      <c r="C65" s="26"/>
      <c r="D65" s="26"/>
      <c r="E65" s="26"/>
      <c r="F65" s="27"/>
      <c r="G65" s="26"/>
      <c r="H65" s="26"/>
      <c r="I65" s="26"/>
      <c r="J65" s="27"/>
      <c r="K65" s="26"/>
      <c r="L65" s="28"/>
      <c r="M65" s="27"/>
      <c r="N65" s="27"/>
      <c r="O65" s="27"/>
      <c r="P65" s="27"/>
      <c r="Q65" s="27"/>
      <c r="R65" s="27"/>
      <c r="S65" s="27"/>
      <c r="T65" s="27"/>
      <c r="U65" s="27"/>
      <c r="V65" s="19"/>
    </row>
    <row r="66" spans="1:22" x14ac:dyDescent="0.2">
      <c r="A66" s="16">
        <v>60</v>
      </c>
      <c r="B66" s="25"/>
      <c r="C66" s="26"/>
      <c r="D66" s="26"/>
      <c r="E66" s="26"/>
      <c r="F66" s="27"/>
      <c r="G66" s="26"/>
      <c r="H66" s="26"/>
      <c r="I66" s="26"/>
      <c r="J66" s="27"/>
      <c r="K66" s="26"/>
      <c r="L66" s="28"/>
      <c r="M66" s="27"/>
      <c r="N66" s="27"/>
      <c r="O66" s="27"/>
      <c r="P66" s="27"/>
      <c r="Q66" s="27"/>
      <c r="R66" s="27"/>
      <c r="S66" s="27"/>
      <c r="T66" s="27"/>
      <c r="U66" s="27"/>
      <c r="V66" s="19"/>
    </row>
    <row r="67" spans="1:22" x14ac:dyDescent="0.2">
      <c r="A67" s="16">
        <v>61</v>
      </c>
      <c r="B67" s="25"/>
      <c r="C67" s="26"/>
      <c r="D67" s="26"/>
      <c r="E67" s="26"/>
      <c r="F67" s="27"/>
      <c r="G67" s="26"/>
      <c r="H67" s="26"/>
      <c r="I67" s="26"/>
      <c r="J67" s="27"/>
      <c r="K67" s="26"/>
      <c r="L67" s="28"/>
      <c r="M67" s="27"/>
      <c r="N67" s="27"/>
      <c r="O67" s="27"/>
      <c r="P67" s="27"/>
      <c r="Q67" s="27"/>
      <c r="R67" s="27"/>
      <c r="S67" s="27"/>
      <c r="T67" s="27"/>
      <c r="U67" s="27"/>
      <c r="V67" s="19"/>
    </row>
    <row r="68" spans="1:22" x14ac:dyDescent="0.2">
      <c r="A68" s="16">
        <v>62</v>
      </c>
      <c r="B68" s="25"/>
      <c r="C68" s="26"/>
      <c r="D68" s="26"/>
      <c r="E68" s="26"/>
      <c r="F68" s="27"/>
      <c r="G68" s="26"/>
      <c r="H68" s="26"/>
      <c r="I68" s="26"/>
      <c r="J68" s="27"/>
      <c r="K68" s="26"/>
      <c r="L68" s="28"/>
      <c r="M68" s="27"/>
      <c r="N68" s="27"/>
      <c r="O68" s="27"/>
      <c r="P68" s="27"/>
      <c r="Q68" s="27"/>
      <c r="R68" s="27"/>
      <c r="S68" s="27"/>
      <c r="T68" s="27"/>
      <c r="U68" s="27"/>
      <c r="V68" s="19"/>
    </row>
    <row r="69" spans="1:22" x14ac:dyDescent="0.2">
      <c r="A69" s="16">
        <v>63</v>
      </c>
      <c r="B69" s="25"/>
      <c r="C69" s="26"/>
      <c r="D69" s="26"/>
      <c r="E69" s="26"/>
      <c r="F69" s="27"/>
      <c r="G69" s="26"/>
      <c r="H69" s="26"/>
      <c r="I69" s="26"/>
      <c r="J69" s="27"/>
      <c r="K69" s="26"/>
      <c r="L69" s="28"/>
      <c r="M69" s="27"/>
      <c r="N69" s="27"/>
      <c r="O69" s="27"/>
      <c r="P69" s="27"/>
      <c r="Q69" s="27"/>
      <c r="R69" s="27"/>
      <c r="S69" s="27"/>
      <c r="T69" s="27"/>
      <c r="U69" s="27"/>
      <c r="V69" s="19"/>
    </row>
    <row r="70" spans="1:22" x14ac:dyDescent="0.2">
      <c r="A70" s="16">
        <v>64</v>
      </c>
      <c r="B70" s="25"/>
      <c r="C70" s="26"/>
      <c r="D70" s="26"/>
      <c r="E70" s="26"/>
      <c r="F70" s="27"/>
      <c r="G70" s="26"/>
      <c r="H70" s="26"/>
      <c r="I70" s="26"/>
      <c r="J70" s="27"/>
      <c r="K70" s="26"/>
      <c r="L70" s="28"/>
      <c r="M70" s="27"/>
      <c r="N70" s="27"/>
      <c r="O70" s="27"/>
      <c r="P70" s="27"/>
      <c r="Q70" s="27"/>
      <c r="R70" s="27"/>
      <c r="S70" s="27"/>
      <c r="T70" s="27"/>
      <c r="U70" s="27"/>
      <c r="V70" s="19"/>
    </row>
    <row r="71" spans="1:22" x14ac:dyDescent="0.2">
      <c r="A71" s="16">
        <v>65</v>
      </c>
      <c r="B71" s="25"/>
      <c r="C71" s="26"/>
      <c r="D71" s="26"/>
      <c r="E71" s="26"/>
      <c r="F71" s="27"/>
      <c r="G71" s="26"/>
      <c r="H71" s="26"/>
      <c r="I71" s="26"/>
      <c r="J71" s="27"/>
      <c r="K71" s="26"/>
      <c r="L71" s="28"/>
      <c r="M71" s="27"/>
      <c r="N71" s="27"/>
      <c r="O71" s="27"/>
      <c r="P71" s="27"/>
      <c r="Q71" s="27"/>
      <c r="R71" s="27"/>
      <c r="S71" s="27"/>
      <c r="T71" s="27"/>
      <c r="U71" s="27"/>
      <c r="V71" s="19"/>
    </row>
    <row r="72" spans="1:22" x14ac:dyDescent="0.2">
      <c r="A72" s="16">
        <v>66</v>
      </c>
      <c r="B72" s="25"/>
      <c r="C72" s="26"/>
      <c r="D72" s="26"/>
      <c r="E72" s="26"/>
      <c r="F72" s="27"/>
      <c r="G72" s="26"/>
      <c r="H72" s="26"/>
      <c r="I72" s="26"/>
      <c r="J72" s="27"/>
      <c r="K72" s="26"/>
      <c r="L72" s="28"/>
      <c r="M72" s="27"/>
      <c r="N72" s="27"/>
      <c r="O72" s="27"/>
      <c r="P72" s="27"/>
      <c r="Q72" s="27"/>
      <c r="R72" s="27"/>
      <c r="S72" s="27"/>
      <c r="T72" s="27"/>
      <c r="U72" s="27"/>
      <c r="V72" s="19"/>
    </row>
    <row r="73" spans="1:22" x14ac:dyDescent="0.2">
      <c r="A73" s="16">
        <v>67</v>
      </c>
      <c r="B73" s="25"/>
      <c r="C73" s="26"/>
      <c r="D73" s="26"/>
      <c r="E73" s="26"/>
      <c r="F73" s="27"/>
      <c r="G73" s="26"/>
      <c r="H73" s="26"/>
      <c r="I73" s="26"/>
      <c r="J73" s="27"/>
      <c r="K73" s="26"/>
      <c r="L73" s="28"/>
      <c r="M73" s="27"/>
      <c r="N73" s="27"/>
      <c r="O73" s="27"/>
      <c r="P73" s="27"/>
      <c r="Q73" s="27"/>
      <c r="R73" s="27"/>
      <c r="S73" s="27"/>
      <c r="T73" s="27"/>
      <c r="U73" s="27"/>
      <c r="V73" s="19"/>
    </row>
    <row r="74" spans="1:22" x14ac:dyDescent="0.2">
      <c r="A74" s="16">
        <v>68</v>
      </c>
      <c r="B74" s="25"/>
      <c r="C74" s="26"/>
      <c r="D74" s="26"/>
      <c r="E74" s="26"/>
      <c r="F74" s="27"/>
      <c r="G74" s="26"/>
      <c r="H74" s="26"/>
      <c r="I74" s="26"/>
      <c r="J74" s="27"/>
      <c r="K74" s="26"/>
      <c r="L74" s="28"/>
      <c r="M74" s="27"/>
      <c r="N74" s="27"/>
      <c r="O74" s="27"/>
      <c r="P74" s="27"/>
      <c r="Q74" s="27"/>
      <c r="R74" s="27"/>
      <c r="S74" s="27"/>
      <c r="T74" s="27"/>
      <c r="U74" s="27"/>
      <c r="V74" s="19"/>
    </row>
    <row r="75" spans="1:22" x14ac:dyDescent="0.2">
      <c r="A75" s="16">
        <v>69</v>
      </c>
      <c r="B75" s="25"/>
      <c r="C75" s="26"/>
      <c r="D75" s="26"/>
      <c r="E75" s="26"/>
      <c r="F75" s="27"/>
      <c r="G75" s="26"/>
      <c r="H75" s="26"/>
      <c r="I75" s="26"/>
      <c r="J75" s="27"/>
      <c r="K75" s="26"/>
      <c r="L75" s="28"/>
      <c r="M75" s="27"/>
      <c r="N75" s="27"/>
      <c r="O75" s="27"/>
      <c r="P75" s="27"/>
      <c r="Q75" s="27"/>
      <c r="R75" s="27"/>
      <c r="S75" s="27"/>
      <c r="T75" s="27"/>
      <c r="U75" s="27"/>
      <c r="V75" s="19"/>
    </row>
    <row r="76" spans="1:22" x14ac:dyDescent="0.2">
      <c r="A76" s="16">
        <v>70</v>
      </c>
      <c r="B76" s="25"/>
      <c r="C76" s="26"/>
      <c r="D76" s="26"/>
      <c r="E76" s="26"/>
      <c r="F76" s="27"/>
      <c r="G76" s="26"/>
      <c r="H76" s="26"/>
      <c r="I76" s="26"/>
      <c r="J76" s="27"/>
      <c r="K76" s="26"/>
      <c r="L76" s="28"/>
      <c r="M76" s="27"/>
      <c r="N76" s="27"/>
      <c r="O76" s="27"/>
      <c r="P76" s="27"/>
      <c r="Q76" s="27"/>
      <c r="R76" s="27"/>
      <c r="S76" s="27"/>
      <c r="T76" s="27"/>
      <c r="U76" s="27"/>
      <c r="V76" s="19"/>
    </row>
    <row r="77" spans="1:22" x14ac:dyDescent="0.2">
      <c r="A77" s="16">
        <v>71</v>
      </c>
      <c r="B77" s="25"/>
      <c r="C77" s="26"/>
      <c r="D77" s="26"/>
      <c r="E77" s="26"/>
      <c r="F77" s="27"/>
      <c r="G77" s="26"/>
      <c r="H77" s="26"/>
      <c r="I77" s="26"/>
      <c r="J77" s="27"/>
      <c r="K77" s="26"/>
      <c r="L77" s="28"/>
      <c r="M77" s="27"/>
      <c r="N77" s="27"/>
      <c r="O77" s="27"/>
      <c r="P77" s="27"/>
      <c r="Q77" s="27"/>
      <c r="R77" s="27"/>
      <c r="S77" s="27"/>
      <c r="T77" s="27"/>
      <c r="U77" s="27"/>
      <c r="V77" s="19"/>
    </row>
    <row r="78" spans="1:22" x14ac:dyDescent="0.2">
      <c r="A78" s="16">
        <v>72</v>
      </c>
      <c r="B78" s="25"/>
      <c r="C78" s="26"/>
      <c r="D78" s="26"/>
      <c r="E78" s="26"/>
      <c r="F78" s="27"/>
      <c r="G78" s="26"/>
      <c r="H78" s="26"/>
      <c r="I78" s="26"/>
      <c r="J78" s="27"/>
      <c r="K78" s="26"/>
      <c r="L78" s="28"/>
      <c r="M78" s="27"/>
      <c r="N78" s="27"/>
      <c r="O78" s="27"/>
      <c r="P78" s="27"/>
      <c r="Q78" s="27"/>
      <c r="R78" s="27"/>
      <c r="S78" s="27"/>
      <c r="T78" s="27"/>
      <c r="U78" s="27"/>
      <c r="V78" s="19"/>
    </row>
    <row r="79" spans="1:22" x14ac:dyDescent="0.2">
      <c r="A79" s="16">
        <v>73</v>
      </c>
      <c r="B79" s="25"/>
      <c r="C79" s="26"/>
      <c r="D79" s="26"/>
      <c r="E79" s="26"/>
      <c r="F79" s="27"/>
      <c r="G79" s="26"/>
      <c r="H79" s="26"/>
      <c r="I79" s="26"/>
      <c r="J79" s="27"/>
      <c r="K79" s="26"/>
      <c r="L79" s="28"/>
      <c r="M79" s="27"/>
      <c r="N79" s="27"/>
      <c r="O79" s="27"/>
      <c r="P79" s="27"/>
      <c r="Q79" s="27"/>
      <c r="R79" s="27"/>
      <c r="S79" s="27"/>
      <c r="T79" s="27"/>
      <c r="U79" s="27"/>
      <c r="V79" s="19"/>
    </row>
    <row r="80" spans="1:22" x14ac:dyDescent="0.2">
      <c r="A80" s="16">
        <v>74</v>
      </c>
      <c r="B80" s="25"/>
      <c r="C80" s="26"/>
      <c r="D80" s="26"/>
      <c r="E80" s="26"/>
      <c r="F80" s="27"/>
      <c r="G80" s="26"/>
      <c r="H80" s="26"/>
      <c r="I80" s="26"/>
      <c r="J80" s="27"/>
      <c r="K80" s="26"/>
      <c r="L80" s="28"/>
      <c r="M80" s="27"/>
      <c r="N80" s="27"/>
      <c r="O80" s="27"/>
      <c r="P80" s="27"/>
      <c r="Q80" s="27"/>
      <c r="R80" s="27"/>
      <c r="S80" s="27"/>
      <c r="T80" s="27"/>
      <c r="U80" s="27"/>
      <c r="V80" s="19"/>
    </row>
    <row r="81" spans="1:22" x14ac:dyDescent="0.2">
      <c r="A81" s="16">
        <v>75</v>
      </c>
      <c r="B81" s="25"/>
      <c r="C81" s="26"/>
      <c r="D81" s="26"/>
      <c r="E81" s="26"/>
      <c r="F81" s="27"/>
      <c r="G81" s="26"/>
      <c r="H81" s="26"/>
      <c r="I81" s="26"/>
      <c r="J81" s="27"/>
      <c r="K81" s="26"/>
      <c r="L81" s="28"/>
      <c r="M81" s="27"/>
      <c r="N81" s="27"/>
      <c r="O81" s="27"/>
      <c r="P81" s="27"/>
      <c r="Q81" s="27"/>
      <c r="R81" s="27"/>
      <c r="S81" s="27"/>
      <c r="T81" s="27"/>
      <c r="U81" s="27"/>
      <c r="V81" s="19"/>
    </row>
    <row r="82" spans="1:22" x14ac:dyDescent="0.2">
      <c r="A82" s="16">
        <v>76</v>
      </c>
      <c r="B82" s="25"/>
      <c r="C82" s="26"/>
      <c r="D82" s="26"/>
      <c r="E82" s="26"/>
      <c r="F82" s="27"/>
      <c r="G82" s="26"/>
      <c r="H82" s="26"/>
      <c r="I82" s="26"/>
      <c r="J82" s="27"/>
      <c r="K82" s="26"/>
      <c r="L82" s="28"/>
      <c r="M82" s="27"/>
      <c r="N82" s="27"/>
      <c r="O82" s="27"/>
      <c r="P82" s="27"/>
      <c r="Q82" s="27"/>
      <c r="R82" s="27"/>
      <c r="S82" s="27"/>
      <c r="T82" s="27"/>
      <c r="U82" s="27"/>
      <c r="V82" s="19"/>
    </row>
    <row r="83" spans="1:22" x14ac:dyDescent="0.2">
      <c r="A83" s="16">
        <v>77</v>
      </c>
      <c r="B83" s="25"/>
      <c r="C83" s="26"/>
      <c r="D83" s="26"/>
      <c r="E83" s="26"/>
      <c r="F83" s="27"/>
      <c r="G83" s="26"/>
      <c r="H83" s="26"/>
      <c r="I83" s="26"/>
      <c r="J83" s="27"/>
      <c r="K83" s="26"/>
      <c r="L83" s="28"/>
      <c r="M83" s="27"/>
      <c r="N83" s="27"/>
      <c r="O83" s="27"/>
      <c r="P83" s="27"/>
      <c r="Q83" s="27"/>
      <c r="R83" s="27"/>
      <c r="S83" s="27"/>
      <c r="T83" s="27"/>
      <c r="U83" s="27"/>
      <c r="V83" s="19"/>
    </row>
    <row r="84" spans="1:22" x14ac:dyDescent="0.2">
      <c r="A84" s="16">
        <v>78</v>
      </c>
      <c r="B84" s="25"/>
      <c r="C84" s="26"/>
      <c r="D84" s="26"/>
      <c r="E84" s="26"/>
      <c r="F84" s="27"/>
      <c r="G84" s="26"/>
      <c r="H84" s="26"/>
      <c r="I84" s="26"/>
      <c r="J84" s="27"/>
      <c r="K84" s="26"/>
      <c r="L84" s="28"/>
      <c r="M84" s="27"/>
      <c r="N84" s="27"/>
      <c r="O84" s="27"/>
      <c r="P84" s="27"/>
      <c r="Q84" s="27"/>
      <c r="R84" s="27"/>
      <c r="S84" s="27"/>
      <c r="T84" s="27"/>
      <c r="U84" s="27"/>
      <c r="V84" s="19"/>
    </row>
    <row r="85" spans="1:22" x14ac:dyDescent="0.2">
      <c r="A85" s="16">
        <v>79</v>
      </c>
      <c r="B85" s="25"/>
      <c r="C85" s="26"/>
      <c r="D85" s="26"/>
      <c r="E85" s="26"/>
      <c r="F85" s="27"/>
      <c r="G85" s="26"/>
      <c r="H85" s="26"/>
      <c r="I85" s="26"/>
      <c r="J85" s="27"/>
      <c r="K85" s="26"/>
      <c r="L85" s="28"/>
      <c r="M85" s="27"/>
      <c r="N85" s="27"/>
      <c r="O85" s="27"/>
      <c r="P85" s="27"/>
      <c r="Q85" s="27"/>
      <c r="R85" s="27"/>
      <c r="S85" s="27"/>
      <c r="T85" s="27"/>
      <c r="U85" s="27"/>
      <c r="V85" s="19"/>
    </row>
    <row r="86" spans="1:22" x14ac:dyDescent="0.2">
      <c r="A86" s="16">
        <v>80</v>
      </c>
      <c r="B86" s="25"/>
      <c r="C86" s="26"/>
      <c r="D86" s="26"/>
      <c r="E86" s="26"/>
      <c r="F86" s="27"/>
      <c r="G86" s="26"/>
      <c r="H86" s="26"/>
      <c r="I86" s="26"/>
      <c r="J86" s="27"/>
      <c r="K86" s="26"/>
      <c r="L86" s="28"/>
      <c r="M86" s="27"/>
      <c r="N86" s="27"/>
      <c r="O86" s="27"/>
      <c r="P86" s="27"/>
      <c r="Q86" s="27"/>
      <c r="R86" s="27"/>
      <c r="S86" s="27"/>
      <c r="T86" s="27"/>
      <c r="U86" s="27"/>
      <c r="V86" s="19"/>
    </row>
    <row r="87" spans="1:22" x14ac:dyDescent="0.2">
      <c r="A87" s="16">
        <v>81</v>
      </c>
      <c r="B87" s="25"/>
      <c r="C87" s="26"/>
      <c r="D87" s="26"/>
      <c r="E87" s="26"/>
      <c r="F87" s="27"/>
      <c r="G87" s="26"/>
      <c r="H87" s="26"/>
      <c r="I87" s="26"/>
      <c r="J87" s="27"/>
      <c r="K87" s="26"/>
      <c r="L87" s="28"/>
      <c r="M87" s="27"/>
      <c r="N87" s="27"/>
      <c r="O87" s="27"/>
      <c r="P87" s="27"/>
      <c r="Q87" s="27"/>
      <c r="R87" s="27"/>
      <c r="S87" s="27"/>
      <c r="T87" s="27"/>
      <c r="U87" s="27"/>
      <c r="V87" s="19"/>
    </row>
    <row r="88" spans="1:22" x14ac:dyDescent="0.2">
      <c r="A88" s="16">
        <v>82</v>
      </c>
      <c r="B88" s="25"/>
      <c r="C88" s="26"/>
      <c r="D88" s="26"/>
      <c r="E88" s="26"/>
      <c r="F88" s="27"/>
      <c r="G88" s="26"/>
      <c r="H88" s="26"/>
      <c r="I88" s="26"/>
      <c r="J88" s="27"/>
      <c r="K88" s="26"/>
      <c r="L88" s="28"/>
      <c r="M88" s="27"/>
      <c r="N88" s="27"/>
      <c r="O88" s="27"/>
      <c r="P88" s="27"/>
      <c r="Q88" s="27"/>
      <c r="R88" s="27"/>
      <c r="S88" s="27"/>
      <c r="T88" s="27"/>
      <c r="U88" s="27"/>
      <c r="V88" s="19"/>
    </row>
    <row r="89" spans="1:22" x14ac:dyDescent="0.2">
      <c r="A89" s="16">
        <v>83</v>
      </c>
      <c r="B89" s="25"/>
      <c r="C89" s="26"/>
      <c r="D89" s="26"/>
      <c r="E89" s="26"/>
      <c r="F89" s="27"/>
      <c r="G89" s="26"/>
      <c r="H89" s="26"/>
      <c r="I89" s="26"/>
      <c r="J89" s="27"/>
      <c r="K89" s="26"/>
      <c r="L89" s="28"/>
      <c r="M89" s="27"/>
      <c r="N89" s="27"/>
      <c r="O89" s="27"/>
      <c r="P89" s="27"/>
      <c r="Q89" s="27"/>
      <c r="R89" s="27"/>
      <c r="S89" s="27"/>
      <c r="T89" s="27"/>
      <c r="U89" s="27"/>
      <c r="V89" s="19"/>
    </row>
    <row r="90" spans="1:22" x14ac:dyDescent="0.2">
      <c r="A90" s="16">
        <v>84</v>
      </c>
      <c r="B90" s="25"/>
      <c r="C90" s="26"/>
      <c r="D90" s="26"/>
      <c r="E90" s="26"/>
      <c r="F90" s="27"/>
      <c r="G90" s="26"/>
      <c r="H90" s="26"/>
      <c r="I90" s="26"/>
      <c r="J90" s="27"/>
      <c r="K90" s="26"/>
      <c r="L90" s="28"/>
      <c r="M90" s="27"/>
      <c r="N90" s="27"/>
      <c r="O90" s="27"/>
      <c r="P90" s="27"/>
      <c r="Q90" s="27"/>
      <c r="R90" s="27"/>
      <c r="S90" s="27"/>
      <c r="T90" s="27"/>
      <c r="U90" s="27"/>
      <c r="V90" s="19"/>
    </row>
    <row r="91" spans="1:22" x14ac:dyDescent="0.2">
      <c r="A91" s="16">
        <v>85</v>
      </c>
      <c r="B91" s="25"/>
      <c r="C91" s="26"/>
      <c r="D91" s="26"/>
      <c r="E91" s="26"/>
      <c r="F91" s="27"/>
      <c r="G91" s="26"/>
      <c r="H91" s="26"/>
      <c r="I91" s="26"/>
      <c r="J91" s="27"/>
      <c r="K91" s="26"/>
      <c r="L91" s="28"/>
      <c r="M91" s="27"/>
      <c r="N91" s="27"/>
      <c r="O91" s="27"/>
      <c r="P91" s="27"/>
      <c r="Q91" s="27"/>
      <c r="R91" s="27"/>
      <c r="S91" s="27"/>
      <c r="T91" s="27"/>
      <c r="U91" s="27"/>
      <c r="V91" s="19"/>
    </row>
    <row r="92" spans="1:22" x14ac:dyDescent="0.2">
      <c r="A92" s="16">
        <v>86</v>
      </c>
      <c r="B92" s="25"/>
      <c r="C92" s="26"/>
      <c r="D92" s="26"/>
      <c r="E92" s="26"/>
      <c r="F92" s="27"/>
      <c r="G92" s="26"/>
      <c r="H92" s="26"/>
      <c r="I92" s="26"/>
      <c r="J92" s="27"/>
      <c r="K92" s="26"/>
      <c r="L92" s="28"/>
      <c r="M92" s="27"/>
      <c r="N92" s="27"/>
      <c r="O92" s="27"/>
      <c r="P92" s="27"/>
      <c r="Q92" s="27"/>
      <c r="R92" s="27"/>
      <c r="S92" s="27"/>
      <c r="T92" s="27"/>
      <c r="U92" s="27"/>
      <c r="V92" s="19"/>
    </row>
    <row r="93" spans="1:22" x14ac:dyDescent="0.2">
      <c r="A93" s="16">
        <v>87</v>
      </c>
      <c r="B93" s="25"/>
      <c r="C93" s="26"/>
      <c r="D93" s="26"/>
      <c r="E93" s="26"/>
      <c r="F93" s="27"/>
      <c r="G93" s="26"/>
      <c r="H93" s="26"/>
      <c r="I93" s="26"/>
      <c r="J93" s="27"/>
      <c r="K93" s="26"/>
      <c r="L93" s="28"/>
      <c r="M93" s="27"/>
      <c r="N93" s="27"/>
      <c r="O93" s="27"/>
      <c r="P93" s="27"/>
      <c r="Q93" s="27"/>
      <c r="R93" s="27"/>
      <c r="S93" s="27"/>
      <c r="T93" s="27"/>
      <c r="U93" s="27"/>
      <c r="V93" s="19"/>
    </row>
    <row r="94" spans="1:22" x14ac:dyDescent="0.2">
      <c r="A94" s="16">
        <v>88</v>
      </c>
      <c r="B94" s="25"/>
      <c r="C94" s="26"/>
      <c r="D94" s="26"/>
      <c r="E94" s="26"/>
      <c r="F94" s="27"/>
      <c r="G94" s="26"/>
      <c r="H94" s="26"/>
      <c r="I94" s="26"/>
      <c r="J94" s="27"/>
      <c r="K94" s="26"/>
      <c r="L94" s="28"/>
      <c r="M94" s="27"/>
      <c r="N94" s="27"/>
      <c r="O94" s="27"/>
      <c r="P94" s="27"/>
      <c r="Q94" s="27"/>
      <c r="R94" s="27"/>
      <c r="S94" s="27"/>
      <c r="T94" s="27"/>
      <c r="U94" s="27"/>
      <c r="V94" s="19"/>
    </row>
    <row r="95" spans="1:22" x14ac:dyDescent="0.2">
      <c r="A95" s="16">
        <v>89</v>
      </c>
      <c r="B95" s="25"/>
      <c r="C95" s="26"/>
      <c r="D95" s="26"/>
      <c r="E95" s="26"/>
      <c r="F95" s="27"/>
      <c r="G95" s="26"/>
      <c r="H95" s="26"/>
      <c r="I95" s="26"/>
      <c r="J95" s="27"/>
      <c r="K95" s="26"/>
      <c r="L95" s="28"/>
      <c r="M95" s="27"/>
      <c r="N95" s="27"/>
      <c r="O95" s="27"/>
      <c r="P95" s="27"/>
      <c r="Q95" s="27"/>
      <c r="R95" s="27"/>
      <c r="S95" s="27"/>
      <c r="T95" s="27"/>
      <c r="U95" s="27"/>
      <c r="V95" s="19"/>
    </row>
    <row r="96" spans="1:22" x14ac:dyDescent="0.2">
      <c r="A96" s="16">
        <v>90</v>
      </c>
      <c r="B96" s="25"/>
      <c r="C96" s="26"/>
      <c r="D96" s="26"/>
      <c r="E96" s="26"/>
      <c r="F96" s="27"/>
      <c r="G96" s="26"/>
      <c r="H96" s="26"/>
      <c r="I96" s="26"/>
      <c r="J96" s="27"/>
      <c r="K96" s="26"/>
      <c r="L96" s="28"/>
      <c r="M96" s="27"/>
      <c r="N96" s="27"/>
      <c r="O96" s="27"/>
      <c r="P96" s="27"/>
      <c r="Q96" s="27"/>
      <c r="R96" s="27"/>
      <c r="S96" s="27"/>
      <c r="T96" s="27"/>
      <c r="U96" s="27"/>
      <c r="V96" s="19"/>
    </row>
    <row r="97" spans="1:22" x14ac:dyDescent="0.2">
      <c r="A97" s="16">
        <v>91</v>
      </c>
      <c r="B97" s="25"/>
      <c r="C97" s="26"/>
      <c r="D97" s="26"/>
      <c r="E97" s="26"/>
      <c r="F97" s="27"/>
      <c r="G97" s="26"/>
      <c r="H97" s="26"/>
      <c r="I97" s="26"/>
      <c r="J97" s="27"/>
      <c r="K97" s="26"/>
      <c r="L97" s="28"/>
      <c r="M97" s="27"/>
      <c r="N97" s="27"/>
      <c r="O97" s="27"/>
      <c r="P97" s="27"/>
      <c r="Q97" s="27"/>
      <c r="R97" s="27"/>
      <c r="S97" s="27"/>
      <c r="T97" s="27"/>
      <c r="U97" s="27"/>
      <c r="V97" s="19"/>
    </row>
    <row r="98" spans="1:22" x14ac:dyDescent="0.2">
      <c r="A98" s="16">
        <v>92</v>
      </c>
      <c r="B98" s="25"/>
      <c r="C98" s="26"/>
      <c r="D98" s="26"/>
      <c r="E98" s="26"/>
      <c r="F98" s="27"/>
      <c r="G98" s="26"/>
      <c r="H98" s="26"/>
      <c r="I98" s="26"/>
      <c r="J98" s="27"/>
      <c r="K98" s="26"/>
      <c r="L98" s="28"/>
      <c r="M98" s="27"/>
      <c r="N98" s="27"/>
      <c r="O98" s="27"/>
      <c r="P98" s="27"/>
      <c r="Q98" s="27"/>
      <c r="R98" s="27"/>
      <c r="S98" s="27"/>
      <c r="T98" s="27"/>
      <c r="U98" s="27"/>
      <c r="V98" s="19"/>
    </row>
    <row r="99" spans="1:22" x14ac:dyDescent="0.2">
      <c r="A99" s="16">
        <v>93</v>
      </c>
      <c r="B99" s="25"/>
      <c r="C99" s="26"/>
      <c r="D99" s="26"/>
      <c r="E99" s="26"/>
      <c r="F99" s="27"/>
      <c r="G99" s="26"/>
      <c r="H99" s="26"/>
      <c r="I99" s="26"/>
      <c r="J99" s="27"/>
      <c r="K99" s="26"/>
      <c r="L99" s="28"/>
      <c r="M99" s="27"/>
      <c r="N99" s="27"/>
      <c r="O99" s="27"/>
      <c r="P99" s="27"/>
      <c r="Q99" s="27"/>
      <c r="R99" s="27"/>
      <c r="S99" s="27"/>
      <c r="T99" s="27"/>
      <c r="U99" s="27"/>
      <c r="V99" s="19"/>
    </row>
    <row r="100" spans="1:22" x14ac:dyDescent="0.2">
      <c r="A100" s="16">
        <v>94</v>
      </c>
      <c r="B100" s="25"/>
      <c r="C100" s="26"/>
      <c r="D100" s="26"/>
      <c r="E100" s="26"/>
      <c r="F100" s="27"/>
      <c r="G100" s="26"/>
      <c r="H100" s="26"/>
      <c r="I100" s="26"/>
      <c r="J100" s="27"/>
      <c r="K100" s="26"/>
      <c r="L100" s="28"/>
      <c r="M100" s="27"/>
      <c r="N100" s="27"/>
      <c r="O100" s="27"/>
      <c r="P100" s="27"/>
      <c r="Q100" s="27"/>
      <c r="R100" s="27"/>
      <c r="S100" s="27"/>
      <c r="T100" s="27"/>
      <c r="U100" s="27"/>
      <c r="V100" s="19"/>
    </row>
    <row r="101" spans="1:22" x14ac:dyDescent="0.2">
      <c r="A101" s="16">
        <v>95</v>
      </c>
      <c r="B101" s="25"/>
      <c r="C101" s="26"/>
      <c r="D101" s="26"/>
      <c r="E101" s="26"/>
      <c r="F101" s="27"/>
      <c r="G101" s="26"/>
      <c r="H101" s="26"/>
      <c r="I101" s="26"/>
      <c r="J101" s="27"/>
      <c r="K101" s="26"/>
      <c r="L101" s="28"/>
      <c r="M101" s="27"/>
      <c r="N101" s="27"/>
      <c r="O101" s="27"/>
      <c r="P101" s="27"/>
      <c r="Q101" s="27"/>
      <c r="R101" s="27"/>
      <c r="S101" s="27"/>
      <c r="T101" s="27"/>
      <c r="U101" s="27"/>
      <c r="V101" s="19"/>
    </row>
    <row r="102" spans="1:22" x14ac:dyDescent="0.2">
      <c r="A102" s="16">
        <v>96</v>
      </c>
      <c r="B102" s="25"/>
      <c r="C102" s="26"/>
      <c r="D102" s="26"/>
      <c r="E102" s="26"/>
      <c r="F102" s="27"/>
      <c r="G102" s="26"/>
      <c r="H102" s="26"/>
      <c r="I102" s="26"/>
      <c r="J102" s="27"/>
      <c r="K102" s="26"/>
      <c r="L102" s="28"/>
      <c r="M102" s="27"/>
      <c r="N102" s="27"/>
      <c r="O102" s="27"/>
      <c r="P102" s="27"/>
      <c r="Q102" s="27"/>
      <c r="R102" s="27"/>
      <c r="S102" s="27"/>
      <c r="T102" s="27"/>
      <c r="U102" s="27"/>
      <c r="V102" s="19"/>
    </row>
    <row r="103" spans="1:22" x14ac:dyDescent="0.2">
      <c r="A103" s="16">
        <v>97</v>
      </c>
      <c r="B103" s="25"/>
      <c r="C103" s="26"/>
      <c r="D103" s="26"/>
      <c r="E103" s="26"/>
      <c r="F103" s="27"/>
      <c r="G103" s="26"/>
      <c r="H103" s="26"/>
      <c r="I103" s="26"/>
      <c r="J103" s="27"/>
      <c r="K103" s="26"/>
      <c r="L103" s="28"/>
      <c r="M103" s="27"/>
      <c r="N103" s="27"/>
      <c r="O103" s="27"/>
      <c r="P103" s="27"/>
      <c r="Q103" s="27"/>
      <c r="R103" s="27"/>
      <c r="S103" s="27"/>
      <c r="T103" s="27"/>
      <c r="U103" s="27"/>
      <c r="V103" s="19"/>
    </row>
    <row r="104" spans="1:22" x14ac:dyDescent="0.2">
      <c r="A104" s="16">
        <v>98</v>
      </c>
      <c r="B104" s="25"/>
      <c r="C104" s="26"/>
      <c r="D104" s="26"/>
      <c r="E104" s="26"/>
      <c r="F104" s="27"/>
      <c r="G104" s="26"/>
      <c r="H104" s="26"/>
      <c r="I104" s="26"/>
      <c r="J104" s="27"/>
      <c r="K104" s="26"/>
      <c r="L104" s="28"/>
      <c r="M104" s="27"/>
      <c r="N104" s="27"/>
      <c r="O104" s="27"/>
      <c r="P104" s="27"/>
      <c r="Q104" s="27"/>
      <c r="R104" s="27"/>
      <c r="S104" s="27"/>
      <c r="T104" s="27"/>
      <c r="U104" s="27"/>
      <c r="V104" s="19"/>
    </row>
    <row r="105" spans="1:22" x14ac:dyDescent="0.2">
      <c r="A105" s="16">
        <v>99</v>
      </c>
      <c r="B105" s="25"/>
      <c r="C105" s="26"/>
      <c r="D105" s="26"/>
      <c r="E105" s="26"/>
      <c r="F105" s="27"/>
      <c r="G105" s="26"/>
      <c r="H105" s="26"/>
      <c r="I105" s="26"/>
      <c r="J105" s="27"/>
      <c r="K105" s="26"/>
      <c r="L105" s="28"/>
      <c r="M105" s="27"/>
      <c r="N105" s="27"/>
      <c r="O105" s="27"/>
      <c r="P105" s="27"/>
      <c r="Q105" s="27"/>
      <c r="R105" s="27"/>
      <c r="S105" s="27"/>
      <c r="T105" s="27"/>
      <c r="U105" s="27"/>
      <c r="V105" s="19"/>
    </row>
    <row r="106" spans="1:22" x14ac:dyDescent="0.2">
      <c r="A106" s="16">
        <v>100</v>
      </c>
      <c r="B106" s="25"/>
      <c r="C106" s="26"/>
      <c r="D106" s="26"/>
      <c r="E106" s="26"/>
      <c r="F106" s="27"/>
      <c r="G106" s="26"/>
      <c r="H106" s="26"/>
      <c r="I106" s="26"/>
      <c r="J106" s="27"/>
      <c r="K106" s="26"/>
      <c r="L106" s="28"/>
      <c r="M106" s="27"/>
      <c r="N106" s="27"/>
      <c r="O106" s="27"/>
      <c r="P106" s="27"/>
      <c r="Q106" s="27"/>
      <c r="R106" s="27"/>
      <c r="S106" s="27"/>
      <c r="T106" s="27"/>
      <c r="U106" s="27"/>
      <c r="V106" s="19"/>
    </row>
    <row r="107" spans="1:22" x14ac:dyDescent="0.2">
      <c r="A107" s="16">
        <v>101</v>
      </c>
      <c r="B107" s="25"/>
      <c r="C107" s="26"/>
      <c r="D107" s="26"/>
      <c r="E107" s="26"/>
      <c r="F107" s="27"/>
      <c r="G107" s="26"/>
      <c r="H107" s="26"/>
      <c r="I107" s="26"/>
      <c r="J107" s="27"/>
      <c r="K107" s="26"/>
      <c r="L107" s="28"/>
      <c r="M107" s="27"/>
      <c r="N107" s="27"/>
      <c r="O107" s="27"/>
      <c r="P107" s="27"/>
      <c r="Q107" s="27"/>
      <c r="R107" s="27"/>
      <c r="S107" s="27"/>
      <c r="T107" s="27"/>
      <c r="U107" s="27"/>
      <c r="V107" s="19"/>
    </row>
    <row r="108" spans="1:22" x14ac:dyDescent="0.2">
      <c r="A108" s="16">
        <v>102</v>
      </c>
      <c r="B108" s="25"/>
      <c r="C108" s="26"/>
      <c r="D108" s="26"/>
      <c r="E108" s="26"/>
      <c r="F108" s="27"/>
      <c r="G108" s="26"/>
      <c r="H108" s="26"/>
      <c r="I108" s="26"/>
      <c r="J108" s="27"/>
      <c r="K108" s="26"/>
      <c r="L108" s="28"/>
      <c r="M108" s="27"/>
      <c r="N108" s="27"/>
      <c r="O108" s="27"/>
      <c r="P108" s="27"/>
      <c r="Q108" s="27"/>
      <c r="R108" s="27"/>
      <c r="S108" s="27"/>
      <c r="T108" s="27"/>
      <c r="U108" s="27"/>
      <c r="V108" s="19"/>
    </row>
    <row r="109" spans="1:22" x14ac:dyDescent="0.2">
      <c r="A109" s="16">
        <v>103</v>
      </c>
      <c r="B109" s="25"/>
      <c r="C109" s="26"/>
      <c r="D109" s="26"/>
      <c r="E109" s="26"/>
      <c r="F109" s="27"/>
      <c r="G109" s="26"/>
      <c r="H109" s="26"/>
      <c r="I109" s="26"/>
      <c r="J109" s="27"/>
      <c r="K109" s="26"/>
      <c r="L109" s="28"/>
      <c r="M109" s="27"/>
      <c r="N109" s="27"/>
      <c r="O109" s="27"/>
      <c r="P109" s="27"/>
      <c r="Q109" s="27"/>
      <c r="R109" s="27"/>
      <c r="S109" s="27"/>
      <c r="T109" s="27"/>
      <c r="U109" s="27"/>
      <c r="V109" s="19"/>
    </row>
    <row r="110" spans="1:22" x14ac:dyDescent="0.2">
      <c r="A110" s="16">
        <v>104</v>
      </c>
      <c r="B110" s="25"/>
      <c r="C110" s="26"/>
      <c r="D110" s="26"/>
      <c r="E110" s="26"/>
      <c r="F110" s="27"/>
      <c r="G110" s="26"/>
      <c r="H110" s="26"/>
      <c r="I110" s="26"/>
      <c r="J110" s="27"/>
      <c r="K110" s="26"/>
      <c r="L110" s="28"/>
      <c r="M110" s="27"/>
      <c r="N110" s="27"/>
      <c r="O110" s="27"/>
      <c r="P110" s="27"/>
      <c r="Q110" s="27"/>
      <c r="R110" s="27"/>
      <c r="S110" s="27"/>
      <c r="T110" s="27"/>
      <c r="U110" s="27"/>
      <c r="V110" s="19"/>
    </row>
    <row r="111" spans="1:22" x14ac:dyDescent="0.2">
      <c r="A111" s="16">
        <v>105</v>
      </c>
      <c r="B111" s="25"/>
      <c r="C111" s="26"/>
      <c r="D111" s="26"/>
      <c r="E111" s="26"/>
      <c r="F111" s="27"/>
      <c r="G111" s="26"/>
      <c r="H111" s="26"/>
      <c r="I111" s="26"/>
      <c r="J111" s="27"/>
      <c r="K111" s="26"/>
      <c r="L111" s="28"/>
      <c r="M111" s="27"/>
      <c r="N111" s="27"/>
      <c r="O111" s="27"/>
      <c r="P111" s="27"/>
      <c r="Q111" s="27"/>
      <c r="R111" s="27"/>
      <c r="S111" s="27"/>
      <c r="T111" s="27"/>
      <c r="U111" s="27"/>
      <c r="V111" s="19"/>
    </row>
    <row r="112" spans="1:22" x14ac:dyDescent="0.2">
      <c r="A112" s="16">
        <v>106</v>
      </c>
      <c r="B112" s="25"/>
      <c r="C112" s="26"/>
      <c r="D112" s="26"/>
      <c r="E112" s="26"/>
      <c r="F112" s="27"/>
      <c r="G112" s="26"/>
      <c r="H112" s="26"/>
      <c r="I112" s="26"/>
      <c r="J112" s="27"/>
      <c r="K112" s="26"/>
      <c r="L112" s="28"/>
      <c r="M112" s="27"/>
      <c r="N112" s="27"/>
      <c r="O112" s="27"/>
      <c r="P112" s="27"/>
      <c r="Q112" s="27"/>
      <c r="R112" s="27"/>
      <c r="S112" s="27"/>
      <c r="T112" s="27"/>
      <c r="U112" s="27"/>
      <c r="V112" s="19"/>
    </row>
    <row r="113" spans="1:22" x14ac:dyDescent="0.2">
      <c r="A113" s="16">
        <v>107</v>
      </c>
      <c r="B113" s="25"/>
      <c r="C113" s="26"/>
      <c r="D113" s="26"/>
      <c r="E113" s="26"/>
      <c r="F113" s="27"/>
      <c r="G113" s="26"/>
      <c r="H113" s="26"/>
      <c r="I113" s="26"/>
      <c r="J113" s="27"/>
      <c r="K113" s="26"/>
      <c r="L113" s="28"/>
      <c r="M113" s="27"/>
      <c r="N113" s="27"/>
      <c r="O113" s="27"/>
      <c r="P113" s="27"/>
      <c r="Q113" s="27"/>
      <c r="R113" s="27"/>
      <c r="S113" s="27"/>
      <c r="T113" s="27"/>
      <c r="U113" s="27"/>
      <c r="V113" s="19"/>
    </row>
    <row r="114" spans="1:22" x14ac:dyDescent="0.2">
      <c r="A114" s="16">
        <v>108</v>
      </c>
      <c r="B114" s="25"/>
      <c r="C114" s="26"/>
      <c r="D114" s="26"/>
      <c r="E114" s="26"/>
      <c r="F114" s="27"/>
      <c r="G114" s="26"/>
      <c r="H114" s="26"/>
      <c r="I114" s="26"/>
      <c r="J114" s="27"/>
      <c r="K114" s="26"/>
      <c r="L114" s="28"/>
      <c r="M114" s="27"/>
      <c r="N114" s="27"/>
      <c r="O114" s="27"/>
      <c r="P114" s="27"/>
      <c r="Q114" s="27"/>
      <c r="R114" s="27"/>
      <c r="S114" s="27"/>
      <c r="T114" s="27"/>
      <c r="U114" s="27"/>
      <c r="V114" s="19"/>
    </row>
    <row r="115" spans="1:22" x14ac:dyDescent="0.2">
      <c r="A115" s="16">
        <v>109</v>
      </c>
      <c r="B115" s="25"/>
      <c r="C115" s="26"/>
      <c r="D115" s="26"/>
      <c r="E115" s="26"/>
      <c r="F115" s="27"/>
      <c r="G115" s="26"/>
      <c r="H115" s="26"/>
      <c r="I115" s="26"/>
      <c r="J115" s="27"/>
      <c r="K115" s="26"/>
      <c r="L115" s="28"/>
      <c r="M115" s="27"/>
      <c r="N115" s="27"/>
      <c r="O115" s="27"/>
      <c r="P115" s="27"/>
      <c r="Q115" s="27"/>
      <c r="R115" s="27"/>
      <c r="S115" s="27"/>
      <c r="T115" s="27"/>
      <c r="U115" s="27"/>
      <c r="V115" s="19"/>
    </row>
    <row r="116" spans="1:22" x14ac:dyDescent="0.2">
      <c r="A116" s="16">
        <v>110</v>
      </c>
      <c r="B116" s="25"/>
      <c r="C116" s="26"/>
      <c r="D116" s="26"/>
      <c r="E116" s="26"/>
      <c r="F116" s="27"/>
      <c r="G116" s="26"/>
      <c r="H116" s="26"/>
      <c r="I116" s="26"/>
      <c r="J116" s="27"/>
      <c r="K116" s="26"/>
      <c r="L116" s="28"/>
      <c r="M116" s="27"/>
      <c r="N116" s="27"/>
      <c r="O116" s="27"/>
      <c r="P116" s="27"/>
      <c r="Q116" s="27"/>
      <c r="R116" s="27"/>
      <c r="S116" s="27"/>
      <c r="T116" s="27"/>
      <c r="U116" s="27"/>
      <c r="V116" s="19"/>
    </row>
    <row r="117" spans="1:22" x14ac:dyDescent="0.2">
      <c r="A117" s="16">
        <v>111</v>
      </c>
      <c r="B117" s="25"/>
      <c r="C117" s="26"/>
      <c r="D117" s="26"/>
      <c r="E117" s="26"/>
      <c r="F117" s="27"/>
      <c r="G117" s="26"/>
      <c r="H117" s="26"/>
      <c r="I117" s="26"/>
      <c r="J117" s="27"/>
      <c r="K117" s="26"/>
      <c r="L117" s="28"/>
      <c r="M117" s="27"/>
      <c r="N117" s="27"/>
      <c r="O117" s="27"/>
      <c r="P117" s="27"/>
      <c r="Q117" s="27"/>
      <c r="R117" s="27"/>
      <c r="S117" s="27"/>
      <c r="T117" s="27"/>
      <c r="U117" s="27"/>
      <c r="V117" s="19"/>
    </row>
    <row r="118" spans="1:22" x14ac:dyDescent="0.2">
      <c r="A118" s="16">
        <v>112</v>
      </c>
      <c r="B118" s="25"/>
      <c r="C118" s="26"/>
      <c r="D118" s="26"/>
      <c r="E118" s="26"/>
      <c r="F118" s="27"/>
      <c r="G118" s="26"/>
      <c r="H118" s="26"/>
      <c r="I118" s="26"/>
      <c r="J118" s="27"/>
      <c r="K118" s="26"/>
      <c r="L118" s="28"/>
      <c r="M118" s="27"/>
      <c r="N118" s="27"/>
      <c r="O118" s="27"/>
      <c r="P118" s="27"/>
      <c r="Q118" s="27"/>
      <c r="R118" s="27"/>
      <c r="S118" s="27"/>
      <c r="T118" s="27"/>
      <c r="U118" s="27"/>
      <c r="V118" s="19"/>
    </row>
    <row r="119" spans="1:22" x14ac:dyDescent="0.2">
      <c r="A119" s="16">
        <v>113</v>
      </c>
      <c r="B119" s="25"/>
      <c r="C119" s="26"/>
      <c r="D119" s="26"/>
      <c r="E119" s="26"/>
      <c r="F119" s="27"/>
      <c r="G119" s="26"/>
      <c r="H119" s="26"/>
      <c r="I119" s="26"/>
      <c r="J119" s="27"/>
      <c r="K119" s="26"/>
      <c r="L119" s="28"/>
      <c r="M119" s="27"/>
      <c r="N119" s="27"/>
      <c r="O119" s="27"/>
      <c r="P119" s="27"/>
      <c r="Q119" s="27"/>
      <c r="R119" s="27"/>
      <c r="S119" s="27"/>
      <c r="T119" s="27"/>
      <c r="U119" s="27"/>
      <c r="V119" s="19"/>
    </row>
    <row r="120" spans="1:22" x14ac:dyDescent="0.2">
      <c r="A120" s="16">
        <v>114</v>
      </c>
      <c r="B120" s="25"/>
      <c r="C120" s="26"/>
      <c r="D120" s="26"/>
      <c r="E120" s="26"/>
      <c r="F120" s="27"/>
      <c r="G120" s="26"/>
      <c r="H120" s="26"/>
      <c r="I120" s="26"/>
      <c r="J120" s="27"/>
      <c r="K120" s="26"/>
      <c r="L120" s="28"/>
      <c r="M120" s="27"/>
      <c r="N120" s="27"/>
      <c r="O120" s="27"/>
      <c r="P120" s="27"/>
      <c r="Q120" s="27"/>
      <c r="R120" s="27"/>
      <c r="S120" s="27"/>
      <c r="T120" s="27"/>
      <c r="U120" s="27"/>
      <c r="V120" s="19"/>
    </row>
    <row r="121" spans="1:22" x14ac:dyDescent="0.2">
      <c r="A121" s="16">
        <v>115</v>
      </c>
      <c r="B121" s="25"/>
      <c r="C121" s="26"/>
      <c r="D121" s="26"/>
      <c r="E121" s="26"/>
      <c r="F121" s="27"/>
      <c r="G121" s="26"/>
      <c r="H121" s="26"/>
      <c r="I121" s="26"/>
      <c r="J121" s="27"/>
      <c r="K121" s="26"/>
      <c r="L121" s="28"/>
      <c r="M121" s="27"/>
      <c r="N121" s="27"/>
      <c r="O121" s="27"/>
      <c r="P121" s="27"/>
      <c r="Q121" s="27"/>
      <c r="R121" s="27"/>
      <c r="S121" s="27"/>
      <c r="T121" s="27"/>
      <c r="U121" s="27"/>
      <c r="V121" s="19"/>
    </row>
    <row r="122" spans="1:22" x14ac:dyDescent="0.2">
      <c r="A122" s="16">
        <v>116</v>
      </c>
      <c r="B122" s="25"/>
      <c r="C122" s="26"/>
      <c r="D122" s="26"/>
      <c r="E122" s="26"/>
      <c r="F122" s="27"/>
      <c r="G122" s="26"/>
      <c r="H122" s="26"/>
      <c r="I122" s="26"/>
      <c r="J122" s="27"/>
      <c r="K122" s="26"/>
      <c r="L122" s="28"/>
      <c r="M122" s="27"/>
      <c r="N122" s="27"/>
      <c r="O122" s="27"/>
      <c r="P122" s="27"/>
      <c r="Q122" s="27"/>
      <c r="R122" s="27"/>
      <c r="S122" s="27"/>
      <c r="T122" s="27"/>
      <c r="U122" s="27"/>
      <c r="V122" s="19"/>
    </row>
    <row r="123" spans="1:22" x14ac:dyDescent="0.2">
      <c r="A123" s="16">
        <v>117</v>
      </c>
      <c r="B123" s="25"/>
      <c r="C123" s="26"/>
      <c r="D123" s="26"/>
      <c r="E123" s="26"/>
      <c r="F123" s="27"/>
      <c r="G123" s="26"/>
      <c r="H123" s="26"/>
      <c r="I123" s="26"/>
      <c r="J123" s="27"/>
      <c r="K123" s="26"/>
      <c r="L123" s="28"/>
      <c r="M123" s="27"/>
      <c r="N123" s="27"/>
      <c r="O123" s="27"/>
      <c r="P123" s="27"/>
      <c r="Q123" s="27"/>
      <c r="R123" s="27"/>
      <c r="S123" s="27"/>
      <c r="T123" s="27"/>
      <c r="U123" s="27"/>
      <c r="V123" s="19"/>
    </row>
    <row r="124" spans="1:22" x14ac:dyDescent="0.2">
      <c r="A124" s="16">
        <v>118</v>
      </c>
      <c r="B124" s="25"/>
      <c r="C124" s="26"/>
      <c r="D124" s="26"/>
      <c r="E124" s="26"/>
      <c r="F124" s="27"/>
      <c r="G124" s="26"/>
      <c r="H124" s="26"/>
      <c r="I124" s="26"/>
      <c r="J124" s="27"/>
      <c r="K124" s="26"/>
      <c r="L124" s="28"/>
      <c r="M124" s="27"/>
      <c r="N124" s="27"/>
      <c r="O124" s="27"/>
      <c r="P124" s="27"/>
      <c r="Q124" s="27"/>
      <c r="R124" s="27"/>
      <c r="S124" s="27"/>
      <c r="T124" s="27"/>
      <c r="U124" s="27"/>
      <c r="V124" s="19"/>
    </row>
    <row r="125" spans="1:22" x14ac:dyDescent="0.2">
      <c r="A125" s="16">
        <v>119</v>
      </c>
      <c r="B125" s="25"/>
      <c r="C125" s="26"/>
      <c r="D125" s="26"/>
      <c r="E125" s="26"/>
      <c r="F125" s="27"/>
      <c r="G125" s="26"/>
      <c r="H125" s="26"/>
      <c r="I125" s="26"/>
      <c r="J125" s="27"/>
      <c r="K125" s="26"/>
      <c r="L125" s="28"/>
      <c r="M125" s="27"/>
      <c r="N125" s="27"/>
      <c r="O125" s="27"/>
      <c r="P125" s="27"/>
      <c r="Q125" s="27"/>
      <c r="R125" s="27"/>
      <c r="S125" s="27"/>
      <c r="T125" s="27"/>
      <c r="U125" s="27"/>
      <c r="V125" s="19"/>
    </row>
    <row r="126" spans="1:22" x14ac:dyDescent="0.2">
      <c r="A126" s="16">
        <v>120</v>
      </c>
      <c r="B126" s="25"/>
      <c r="C126" s="26"/>
      <c r="D126" s="26"/>
      <c r="E126" s="26"/>
      <c r="F126" s="27"/>
      <c r="G126" s="26"/>
      <c r="H126" s="26"/>
      <c r="I126" s="26"/>
      <c r="J126" s="27"/>
      <c r="K126" s="26"/>
      <c r="L126" s="28"/>
      <c r="M126" s="27"/>
      <c r="N126" s="27"/>
      <c r="O126" s="27"/>
      <c r="P126" s="27"/>
      <c r="Q126" s="27"/>
      <c r="R126" s="27"/>
      <c r="S126" s="27"/>
      <c r="T126" s="27"/>
      <c r="U126" s="27"/>
      <c r="V126" s="19"/>
    </row>
    <row r="127" spans="1:22" x14ac:dyDescent="0.2">
      <c r="A127" s="16">
        <v>121</v>
      </c>
      <c r="B127" s="25"/>
      <c r="C127" s="26"/>
      <c r="D127" s="26"/>
      <c r="E127" s="26"/>
      <c r="F127" s="27"/>
      <c r="G127" s="26"/>
      <c r="H127" s="26"/>
      <c r="I127" s="26"/>
      <c r="J127" s="27"/>
      <c r="K127" s="26"/>
      <c r="L127" s="28"/>
      <c r="M127" s="27"/>
      <c r="N127" s="27"/>
      <c r="O127" s="27"/>
      <c r="P127" s="27"/>
      <c r="Q127" s="27"/>
      <c r="R127" s="27"/>
      <c r="S127" s="27"/>
      <c r="T127" s="27"/>
      <c r="U127" s="27"/>
      <c r="V127" s="19"/>
    </row>
    <row r="128" spans="1:22" x14ac:dyDescent="0.2">
      <c r="A128" s="16">
        <v>122</v>
      </c>
      <c r="B128" s="25"/>
      <c r="C128" s="26"/>
      <c r="D128" s="26"/>
      <c r="E128" s="26"/>
      <c r="F128" s="27"/>
      <c r="G128" s="26"/>
      <c r="H128" s="26"/>
      <c r="I128" s="26"/>
      <c r="J128" s="27"/>
      <c r="K128" s="26"/>
      <c r="L128" s="28"/>
      <c r="M128" s="27"/>
      <c r="N128" s="27"/>
      <c r="O128" s="27"/>
      <c r="P128" s="27"/>
      <c r="Q128" s="27"/>
      <c r="R128" s="27"/>
      <c r="S128" s="27"/>
      <c r="T128" s="27"/>
      <c r="U128" s="27"/>
      <c r="V128" s="19"/>
    </row>
    <row r="129" spans="1:22" x14ac:dyDescent="0.2">
      <c r="A129" s="16">
        <v>123</v>
      </c>
      <c r="B129" s="25"/>
      <c r="C129" s="26"/>
      <c r="D129" s="26"/>
      <c r="E129" s="26"/>
      <c r="F129" s="27"/>
      <c r="G129" s="26"/>
      <c r="H129" s="26"/>
      <c r="I129" s="26"/>
      <c r="J129" s="27"/>
      <c r="K129" s="26"/>
      <c r="L129" s="28"/>
      <c r="M129" s="27"/>
      <c r="N129" s="27"/>
      <c r="O129" s="27"/>
      <c r="P129" s="27"/>
      <c r="Q129" s="27"/>
      <c r="R129" s="27"/>
      <c r="S129" s="27"/>
      <c r="T129" s="27"/>
      <c r="U129" s="27"/>
      <c r="V129" s="19"/>
    </row>
    <row r="130" spans="1:22" x14ac:dyDescent="0.2">
      <c r="A130" s="16">
        <v>124</v>
      </c>
      <c r="B130" s="25"/>
      <c r="C130" s="26"/>
      <c r="D130" s="26"/>
      <c r="E130" s="26"/>
      <c r="F130" s="27"/>
      <c r="G130" s="26"/>
      <c r="H130" s="26"/>
      <c r="I130" s="26"/>
      <c r="J130" s="27"/>
      <c r="K130" s="26"/>
      <c r="L130" s="28"/>
      <c r="M130" s="27"/>
      <c r="N130" s="27"/>
      <c r="O130" s="27"/>
      <c r="P130" s="27"/>
      <c r="Q130" s="27"/>
      <c r="R130" s="27"/>
      <c r="S130" s="27"/>
      <c r="T130" s="27"/>
      <c r="U130" s="27"/>
      <c r="V130" s="19"/>
    </row>
    <row r="131" spans="1:22" x14ac:dyDescent="0.2">
      <c r="A131" s="16">
        <v>125</v>
      </c>
      <c r="B131" s="25"/>
      <c r="C131" s="26"/>
      <c r="D131" s="26"/>
      <c r="E131" s="26"/>
      <c r="F131" s="27"/>
      <c r="G131" s="26"/>
      <c r="H131" s="26"/>
      <c r="I131" s="26"/>
      <c r="J131" s="27"/>
      <c r="K131" s="26"/>
      <c r="L131" s="28"/>
      <c r="M131" s="27"/>
      <c r="N131" s="27"/>
      <c r="O131" s="27"/>
      <c r="P131" s="27"/>
      <c r="Q131" s="27"/>
      <c r="R131" s="27"/>
      <c r="S131" s="27"/>
      <c r="T131" s="27"/>
      <c r="U131" s="27"/>
      <c r="V131" s="19"/>
    </row>
    <row r="132" spans="1:22" x14ac:dyDescent="0.2">
      <c r="A132" s="16">
        <v>126</v>
      </c>
      <c r="B132" s="25"/>
      <c r="C132" s="26"/>
      <c r="D132" s="26"/>
      <c r="E132" s="26"/>
      <c r="F132" s="27"/>
      <c r="G132" s="26"/>
      <c r="H132" s="26"/>
      <c r="I132" s="26"/>
      <c r="J132" s="27"/>
      <c r="K132" s="26"/>
      <c r="L132" s="28"/>
      <c r="M132" s="27"/>
      <c r="N132" s="27"/>
      <c r="O132" s="27"/>
      <c r="P132" s="27"/>
      <c r="Q132" s="27"/>
      <c r="R132" s="27"/>
      <c r="S132" s="27"/>
      <c r="T132" s="27"/>
      <c r="U132" s="27"/>
      <c r="V132" s="19"/>
    </row>
    <row r="133" spans="1:22" x14ac:dyDescent="0.2">
      <c r="A133" s="16">
        <v>127</v>
      </c>
      <c r="B133" s="25"/>
      <c r="C133" s="26"/>
      <c r="D133" s="26"/>
      <c r="E133" s="26"/>
      <c r="F133" s="27"/>
      <c r="G133" s="26"/>
      <c r="H133" s="26"/>
      <c r="I133" s="26"/>
      <c r="J133" s="27"/>
      <c r="K133" s="26"/>
      <c r="L133" s="28"/>
      <c r="M133" s="27"/>
      <c r="N133" s="27"/>
      <c r="O133" s="27"/>
      <c r="P133" s="27"/>
      <c r="Q133" s="27"/>
      <c r="R133" s="27"/>
      <c r="S133" s="27"/>
      <c r="T133" s="27"/>
      <c r="U133" s="27"/>
      <c r="V133" s="19"/>
    </row>
    <row r="134" spans="1:22" x14ac:dyDescent="0.2">
      <c r="A134" s="16">
        <v>128</v>
      </c>
      <c r="B134" s="25"/>
      <c r="C134" s="26"/>
      <c r="D134" s="26"/>
      <c r="E134" s="26"/>
      <c r="F134" s="27"/>
      <c r="G134" s="26"/>
      <c r="H134" s="26"/>
      <c r="I134" s="26"/>
      <c r="J134" s="27"/>
      <c r="K134" s="26"/>
      <c r="L134" s="28"/>
      <c r="M134" s="27"/>
      <c r="N134" s="27"/>
      <c r="O134" s="27"/>
      <c r="P134" s="27"/>
      <c r="Q134" s="27"/>
      <c r="R134" s="27"/>
      <c r="S134" s="27"/>
      <c r="T134" s="27"/>
      <c r="U134" s="27"/>
      <c r="V134" s="19"/>
    </row>
    <row r="135" spans="1:22" x14ac:dyDescent="0.2">
      <c r="A135" s="16">
        <v>129</v>
      </c>
      <c r="B135" s="25"/>
      <c r="C135" s="26"/>
      <c r="D135" s="26"/>
      <c r="E135" s="26"/>
      <c r="F135" s="27"/>
      <c r="G135" s="26"/>
      <c r="H135" s="26"/>
      <c r="I135" s="26"/>
      <c r="J135" s="27"/>
      <c r="K135" s="26"/>
      <c r="L135" s="28"/>
      <c r="M135" s="27"/>
      <c r="N135" s="27"/>
      <c r="O135" s="27"/>
      <c r="P135" s="27"/>
      <c r="Q135" s="27"/>
      <c r="R135" s="27"/>
      <c r="S135" s="27"/>
      <c r="T135" s="27"/>
      <c r="U135" s="27"/>
      <c r="V135" s="19"/>
    </row>
    <row r="136" spans="1:22" x14ac:dyDescent="0.2">
      <c r="A136" s="16">
        <v>130</v>
      </c>
      <c r="B136" s="25"/>
      <c r="C136" s="26"/>
      <c r="D136" s="26"/>
      <c r="E136" s="26"/>
      <c r="F136" s="27"/>
      <c r="G136" s="26"/>
      <c r="H136" s="26"/>
      <c r="I136" s="26"/>
      <c r="J136" s="27"/>
      <c r="K136" s="26"/>
      <c r="L136" s="28"/>
      <c r="M136" s="27"/>
      <c r="N136" s="27"/>
      <c r="O136" s="27"/>
      <c r="P136" s="27"/>
      <c r="Q136" s="27"/>
      <c r="R136" s="27"/>
      <c r="S136" s="27"/>
      <c r="T136" s="27"/>
      <c r="U136" s="27"/>
      <c r="V136" s="19"/>
    </row>
    <row r="137" spans="1:22" x14ac:dyDescent="0.2">
      <c r="A137" s="16">
        <v>131</v>
      </c>
      <c r="B137" s="25"/>
      <c r="C137" s="26"/>
      <c r="D137" s="26"/>
      <c r="E137" s="26"/>
      <c r="F137" s="27"/>
      <c r="G137" s="26"/>
      <c r="H137" s="26"/>
      <c r="I137" s="26"/>
      <c r="J137" s="27"/>
      <c r="K137" s="26"/>
      <c r="L137" s="28"/>
      <c r="M137" s="27"/>
      <c r="N137" s="27"/>
      <c r="O137" s="27"/>
      <c r="P137" s="27"/>
      <c r="Q137" s="27"/>
      <c r="R137" s="27"/>
      <c r="S137" s="27"/>
      <c r="T137" s="27"/>
      <c r="U137" s="27"/>
      <c r="V137" s="19"/>
    </row>
    <row r="138" spans="1:22" x14ac:dyDescent="0.2">
      <c r="A138" s="16">
        <v>132</v>
      </c>
      <c r="B138" s="25"/>
      <c r="C138" s="26"/>
      <c r="D138" s="26"/>
      <c r="E138" s="26"/>
      <c r="F138" s="27"/>
      <c r="G138" s="26"/>
      <c r="H138" s="26"/>
      <c r="I138" s="26"/>
      <c r="J138" s="27"/>
      <c r="K138" s="26"/>
      <c r="L138" s="28"/>
      <c r="M138" s="27"/>
      <c r="N138" s="27"/>
      <c r="O138" s="27"/>
      <c r="P138" s="27"/>
      <c r="Q138" s="27"/>
      <c r="R138" s="27"/>
      <c r="S138" s="27"/>
      <c r="T138" s="27"/>
      <c r="U138" s="27"/>
      <c r="V138" s="19"/>
    </row>
    <row r="139" spans="1:22" x14ac:dyDescent="0.2">
      <c r="A139" s="16">
        <v>133</v>
      </c>
      <c r="B139" s="25"/>
      <c r="C139" s="26"/>
      <c r="D139" s="26"/>
      <c r="E139" s="26"/>
      <c r="F139" s="27"/>
      <c r="G139" s="26"/>
      <c r="H139" s="26"/>
      <c r="I139" s="26"/>
      <c r="J139" s="27"/>
      <c r="K139" s="26"/>
      <c r="L139" s="28"/>
      <c r="M139" s="27"/>
      <c r="N139" s="27"/>
      <c r="O139" s="27"/>
      <c r="P139" s="27"/>
      <c r="Q139" s="27"/>
      <c r="R139" s="27"/>
      <c r="S139" s="27"/>
      <c r="T139" s="27"/>
      <c r="U139" s="27"/>
      <c r="V139" s="19"/>
    </row>
    <row r="140" spans="1:22" x14ac:dyDescent="0.2">
      <c r="A140" s="16">
        <v>134</v>
      </c>
      <c r="B140" s="25"/>
      <c r="C140" s="26"/>
      <c r="D140" s="26"/>
      <c r="E140" s="26"/>
      <c r="F140" s="27"/>
      <c r="G140" s="26"/>
      <c r="H140" s="26"/>
      <c r="I140" s="26"/>
      <c r="J140" s="27"/>
      <c r="K140" s="26"/>
      <c r="L140" s="28"/>
      <c r="M140" s="27"/>
      <c r="N140" s="27"/>
      <c r="O140" s="27"/>
      <c r="P140" s="27"/>
      <c r="Q140" s="27"/>
      <c r="R140" s="27"/>
      <c r="S140" s="27"/>
      <c r="T140" s="27"/>
      <c r="U140" s="27"/>
      <c r="V140" s="19"/>
    </row>
    <row r="141" spans="1:22" x14ac:dyDescent="0.2">
      <c r="A141" s="16">
        <v>135</v>
      </c>
      <c r="B141" s="25"/>
      <c r="C141" s="26"/>
      <c r="D141" s="26"/>
      <c r="E141" s="26"/>
      <c r="F141" s="27"/>
      <c r="G141" s="26"/>
      <c r="H141" s="26"/>
      <c r="I141" s="26"/>
      <c r="J141" s="27"/>
      <c r="K141" s="26"/>
      <c r="L141" s="28"/>
      <c r="M141" s="27"/>
      <c r="N141" s="27"/>
      <c r="O141" s="27"/>
      <c r="P141" s="27"/>
      <c r="Q141" s="27"/>
      <c r="R141" s="27"/>
      <c r="S141" s="27"/>
      <c r="T141" s="27"/>
      <c r="U141" s="27"/>
      <c r="V141" s="19"/>
    </row>
    <row r="142" spans="1:22" x14ac:dyDescent="0.2">
      <c r="A142" s="16">
        <v>136</v>
      </c>
      <c r="B142" s="25"/>
      <c r="C142" s="26"/>
      <c r="D142" s="26"/>
      <c r="E142" s="26"/>
      <c r="F142" s="27"/>
      <c r="G142" s="26"/>
      <c r="H142" s="26"/>
      <c r="I142" s="26"/>
      <c r="J142" s="27"/>
      <c r="K142" s="26"/>
      <c r="L142" s="28"/>
      <c r="M142" s="27"/>
      <c r="N142" s="27"/>
      <c r="O142" s="27"/>
      <c r="P142" s="27"/>
      <c r="Q142" s="27"/>
      <c r="R142" s="27"/>
      <c r="S142" s="27"/>
      <c r="T142" s="27"/>
      <c r="U142" s="27"/>
      <c r="V142" s="19"/>
    </row>
    <row r="143" spans="1:22" x14ac:dyDescent="0.2">
      <c r="A143" s="16">
        <v>137</v>
      </c>
      <c r="B143" s="25"/>
      <c r="C143" s="26"/>
      <c r="D143" s="26"/>
      <c r="E143" s="26"/>
      <c r="F143" s="27"/>
      <c r="G143" s="26"/>
      <c r="H143" s="26"/>
      <c r="I143" s="26"/>
      <c r="J143" s="27"/>
      <c r="K143" s="26"/>
      <c r="L143" s="28"/>
      <c r="M143" s="27"/>
      <c r="N143" s="27"/>
      <c r="O143" s="27"/>
      <c r="P143" s="27"/>
      <c r="Q143" s="27"/>
      <c r="R143" s="27"/>
      <c r="S143" s="27"/>
      <c r="T143" s="27"/>
      <c r="U143" s="27"/>
      <c r="V143" s="19"/>
    </row>
    <row r="144" spans="1:22" x14ac:dyDescent="0.2">
      <c r="A144" s="16">
        <v>138</v>
      </c>
      <c r="B144" s="25"/>
      <c r="C144" s="26"/>
      <c r="D144" s="26"/>
      <c r="E144" s="26"/>
      <c r="F144" s="27"/>
      <c r="G144" s="26"/>
      <c r="H144" s="26"/>
      <c r="I144" s="26"/>
      <c r="J144" s="27"/>
      <c r="K144" s="26"/>
      <c r="L144" s="28"/>
      <c r="M144" s="27"/>
      <c r="N144" s="27"/>
      <c r="O144" s="27"/>
      <c r="P144" s="27"/>
      <c r="Q144" s="27"/>
      <c r="R144" s="27"/>
      <c r="S144" s="27"/>
      <c r="T144" s="27"/>
      <c r="U144" s="27"/>
      <c r="V144" s="19"/>
    </row>
    <row r="145" spans="1:22" x14ac:dyDescent="0.2">
      <c r="A145" s="16">
        <v>139</v>
      </c>
      <c r="B145" s="25"/>
      <c r="C145" s="26"/>
      <c r="D145" s="26"/>
      <c r="E145" s="26"/>
      <c r="F145" s="27"/>
      <c r="G145" s="26"/>
      <c r="H145" s="26"/>
      <c r="I145" s="26"/>
      <c r="J145" s="27"/>
      <c r="K145" s="26"/>
      <c r="L145" s="28"/>
      <c r="M145" s="27"/>
      <c r="N145" s="27"/>
      <c r="O145" s="27"/>
      <c r="P145" s="27"/>
      <c r="Q145" s="27"/>
      <c r="R145" s="27"/>
      <c r="S145" s="27"/>
      <c r="T145" s="27"/>
      <c r="U145" s="27"/>
      <c r="V145" s="19"/>
    </row>
    <row r="146" spans="1:22" x14ac:dyDescent="0.2">
      <c r="A146" s="16">
        <v>140</v>
      </c>
      <c r="B146" s="25"/>
      <c r="C146" s="26"/>
      <c r="D146" s="26"/>
      <c r="E146" s="26"/>
      <c r="F146" s="27"/>
      <c r="G146" s="26"/>
      <c r="H146" s="26"/>
      <c r="I146" s="26"/>
      <c r="J146" s="27"/>
      <c r="K146" s="26"/>
      <c r="L146" s="28"/>
      <c r="M146" s="27"/>
      <c r="N146" s="27"/>
      <c r="O146" s="27"/>
      <c r="P146" s="27"/>
      <c r="Q146" s="27"/>
      <c r="R146" s="27"/>
      <c r="S146" s="27"/>
      <c r="T146" s="27"/>
      <c r="U146" s="27"/>
      <c r="V146" s="19"/>
    </row>
    <row r="147" spans="1:22" x14ac:dyDescent="0.2">
      <c r="A147" s="16">
        <v>141</v>
      </c>
      <c r="B147" s="25"/>
      <c r="C147" s="26"/>
      <c r="D147" s="26"/>
      <c r="E147" s="26"/>
      <c r="F147" s="27"/>
      <c r="G147" s="26"/>
      <c r="H147" s="26"/>
      <c r="I147" s="26"/>
      <c r="J147" s="27"/>
      <c r="K147" s="26"/>
      <c r="L147" s="28"/>
      <c r="M147" s="27"/>
      <c r="N147" s="27"/>
      <c r="O147" s="27"/>
      <c r="P147" s="27"/>
      <c r="Q147" s="27"/>
      <c r="R147" s="27"/>
      <c r="S147" s="27"/>
      <c r="T147" s="27"/>
      <c r="U147" s="27"/>
      <c r="V147" s="19"/>
    </row>
    <row r="148" spans="1:22" x14ac:dyDescent="0.2">
      <c r="A148" s="16">
        <v>142</v>
      </c>
      <c r="B148" s="25"/>
      <c r="C148" s="26"/>
      <c r="D148" s="26"/>
      <c r="E148" s="26"/>
      <c r="F148" s="27"/>
      <c r="G148" s="26"/>
      <c r="H148" s="26"/>
      <c r="I148" s="26"/>
      <c r="J148" s="27"/>
      <c r="K148" s="26"/>
      <c r="L148" s="28"/>
      <c r="M148" s="27"/>
      <c r="N148" s="27"/>
      <c r="O148" s="27"/>
      <c r="P148" s="27"/>
      <c r="Q148" s="27"/>
      <c r="R148" s="27"/>
      <c r="S148" s="27"/>
      <c r="T148" s="27"/>
      <c r="U148" s="27"/>
      <c r="V148" s="19"/>
    </row>
    <row r="149" spans="1:22" x14ac:dyDescent="0.2">
      <c r="A149" s="16">
        <v>143</v>
      </c>
      <c r="B149" s="25"/>
      <c r="C149" s="26"/>
      <c r="D149" s="26"/>
      <c r="E149" s="26"/>
      <c r="F149" s="27"/>
      <c r="G149" s="26"/>
      <c r="H149" s="26"/>
      <c r="I149" s="26"/>
      <c r="J149" s="27"/>
      <c r="K149" s="26"/>
      <c r="L149" s="28"/>
      <c r="M149" s="27"/>
      <c r="N149" s="27"/>
      <c r="O149" s="27"/>
      <c r="P149" s="27"/>
      <c r="Q149" s="27"/>
      <c r="R149" s="27"/>
      <c r="S149" s="27"/>
      <c r="T149" s="27"/>
      <c r="U149" s="27"/>
      <c r="V149" s="19"/>
    </row>
    <row r="150" spans="1:22" x14ac:dyDescent="0.2">
      <c r="A150" s="16">
        <v>144</v>
      </c>
      <c r="B150" s="25"/>
      <c r="C150" s="26"/>
      <c r="D150" s="26"/>
      <c r="E150" s="26"/>
      <c r="F150" s="27"/>
      <c r="G150" s="26"/>
      <c r="H150" s="26"/>
      <c r="I150" s="26"/>
      <c r="J150" s="27"/>
      <c r="K150" s="26"/>
      <c r="L150" s="28"/>
      <c r="M150" s="27"/>
      <c r="N150" s="27"/>
      <c r="O150" s="27"/>
      <c r="P150" s="27"/>
      <c r="Q150" s="27"/>
      <c r="R150" s="27"/>
      <c r="S150" s="27"/>
      <c r="T150" s="27"/>
      <c r="U150" s="27"/>
      <c r="V150" s="19"/>
    </row>
    <row r="151" spans="1:22" x14ac:dyDescent="0.2">
      <c r="A151" s="16">
        <v>145</v>
      </c>
      <c r="B151" s="25"/>
      <c r="C151" s="26"/>
      <c r="D151" s="26"/>
      <c r="E151" s="26"/>
      <c r="F151" s="27"/>
      <c r="G151" s="26"/>
      <c r="H151" s="26"/>
      <c r="I151" s="26"/>
      <c r="J151" s="27"/>
      <c r="K151" s="26"/>
      <c r="L151" s="28"/>
      <c r="M151" s="27"/>
      <c r="N151" s="27"/>
      <c r="O151" s="27"/>
      <c r="P151" s="27"/>
      <c r="Q151" s="27"/>
      <c r="R151" s="27"/>
      <c r="S151" s="27"/>
      <c r="T151" s="27"/>
      <c r="U151" s="27"/>
      <c r="V151" s="19"/>
    </row>
    <row r="152" spans="1:22" x14ac:dyDescent="0.2">
      <c r="A152" s="16">
        <v>146</v>
      </c>
      <c r="B152" s="25"/>
      <c r="C152" s="26"/>
      <c r="D152" s="26"/>
      <c r="E152" s="26"/>
      <c r="F152" s="27"/>
      <c r="G152" s="26"/>
      <c r="H152" s="26"/>
      <c r="I152" s="26"/>
      <c r="J152" s="27"/>
      <c r="K152" s="26"/>
      <c r="L152" s="28"/>
      <c r="M152" s="27"/>
      <c r="N152" s="27"/>
      <c r="O152" s="27"/>
      <c r="P152" s="27"/>
      <c r="Q152" s="27"/>
      <c r="R152" s="27"/>
      <c r="S152" s="27"/>
      <c r="T152" s="27"/>
      <c r="U152" s="27"/>
      <c r="V152" s="19"/>
    </row>
    <row r="153" spans="1:22" x14ac:dyDescent="0.2">
      <c r="A153" s="16">
        <v>147</v>
      </c>
      <c r="B153" s="25"/>
      <c r="C153" s="26"/>
      <c r="D153" s="26"/>
      <c r="E153" s="26"/>
      <c r="F153" s="27"/>
      <c r="G153" s="26"/>
      <c r="H153" s="26"/>
      <c r="I153" s="26"/>
      <c r="J153" s="27"/>
      <c r="K153" s="26"/>
      <c r="L153" s="28"/>
      <c r="M153" s="27"/>
      <c r="N153" s="27"/>
      <c r="O153" s="27"/>
      <c r="P153" s="27"/>
      <c r="Q153" s="27"/>
      <c r="R153" s="27"/>
      <c r="S153" s="27"/>
      <c r="T153" s="27"/>
      <c r="U153" s="27"/>
      <c r="V153" s="19"/>
    </row>
    <row r="154" spans="1:22" x14ac:dyDescent="0.2">
      <c r="A154" s="16">
        <v>148</v>
      </c>
      <c r="B154" s="25"/>
      <c r="C154" s="26"/>
      <c r="D154" s="26"/>
      <c r="E154" s="26"/>
      <c r="F154" s="27"/>
      <c r="G154" s="26"/>
      <c r="H154" s="26"/>
      <c r="I154" s="26"/>
      <c r="J154" s="27"/>
      <c r="K154" s="26"/>
      <c r="L154" s="28"/>
      <c r="M154" s="27"/>
      <c r="N154" s="27"/>
      <c r="O154" s="27"/>
      <c r="P154" s="27"/>
      <c r="Q154" s="27"/>
      <c r="R154" s="27"/>
      <c r="S154" s="27"/>
      <c r="T154" s="27"/>
      <c r="U154" s="27"/>
      <c r="V154" s="19"/>
    </row>
    <row r="155" spans="1:22" x14ac:dyDescent="0.2">
      <c r="A155" s="16">
        <v>149</v>
      </c>
      <c r="B155" s="25"/>
      <c r="C155" s="26"/>
      <c r="D155" s="26"/>
      <c r="E155" s="26"/>
      <c r="F155" s="27"/>
      <c r="G155" s="26"/>
      <c r="H155" s="26"/>
      <c r="I155" s="26"/>
      <c r="J155" s="27"/>
      <c r="K155" s="26"/>
      <c r="L155" s="28"/>
      <c r="M155" s="27"/>
      <c r="N155" s="27"/>
      <c r="O155" s="27"/>
      <c r="P155" s="27"/>
      <c r="Q155" s="27"/>
      <c r="R155" s="27"/>
      <c r="S155" s="27"/>
      <c r="T155" s="27"/>
      <c r="U155" s="27"/>
      <c r="V155" s="19"/>
    </row>
    <row r="156" spans="1:22" x14ac:dyDescent="0.2">
      <c r="A156" s="16">
        <v>150</v>
      </c>
      <c r="B156" s="25"/>
      <c r="C156" s="26"/>
      <c r="D156" s="26"/>
      <c r="E156" s="26"/>
      <c r="F156" s="27"/>
      <c r="G156" s="26"/>
      <c r="H156" s="26"/>
      <c r="I156" s="26"/>
      <c r="J156" s="27"/>
      <c r="K156" s="26"/>
      <c r="L156" s="28"/>
      <c r="M156" s="27"/>
      <c r="N156" s="27"/>
      <c r="O156" s="27"/>
      <c r="P156" s="27"/>
      <c r="Q156" s="27"/>
      <c r="R156" s="27"/>
      <c r="S156" s="27"/>
      <c r="T156" s="27"/>
      <c r="U156" s="27"/>
      <c r="V156" s="19"/>
    </row>
    <row r="157" spans="1:22" x14ac:dyDescent="0.2">
      <c r="A157" s="16">
        <v>151</v>
      </c>
      <c r="B157" s="25"/>
      <c r="C157" s="26"/>
      <c r="D157" s="26"/>
      <c r="E157" s="26"/>
      <c r="F157" s="27"/>
      <c r="G157" s="26"/>
      <c r="H157" s="26"/>
      <c r="I157" s="26"/>
      <c r="J157" s="27"/>
      <c r="K157" s="26"/>
      <c r="L157" s="28"/>
      <c r="M157" s="27"/>
      <c r="N157" s="27"/>
      <c r="O157" s="27"/>
      <c r="P157" s="27"/>
      <c r="Q157" s="27"/>
      <c r="R157" s="27"/>
      <c r="S157" s="27"/>
      <c r="T157" s="27"/>
      <c r="U157" s="27"/>
      <c r="V157" s="19"/>
    </row>
    <row r="158" spans="1:22" x14ac:dyDescent="0.2">
      <c r="A158" s="16">
        <v>152</v>
      </c>
      <c r="B158" s="25"/>
      <c r="C158" s="26"/>
      <c r="D158" s="26"/>
      <c r="E158" s="26"/>
      <c r="F158" s="27"/>
      <c r="G158" s="26"/>
      <c r="H158" s="26"/>
      <c r="I158" s="26"/>
      <c r="J158" s="27"/>
      <c r="K158" s="26"/>
      <c r="L158" s="28"/>
      <c r="M158" s="27"/>
      <c r="N158" s="27"/>
      <c r="O158" s="27"/>
      <c r="P158" s="27"/>
      <c r="Q158" s="27"/>
      <c r="R158" s="27"/>
      <c r="S158" s="27"/>
      <c r="T158" s="27"/>
      <c r="U158" s="27"/>
      <c r="V158" s="19"/>
    </row>
    <row r="159" spans="1:22" x14ac:dyDescent="0.2">
      <c r="A159" s="16">
        <v>153</v>
      </c>
      <c r="B159" s="25"/>
      <c r="C159" s="26"/>
      <c r="D159" s="26"/>
      <c r="E159" s="26"/>
      <c r="F159" s="27"/>
      <c r="G159" s="26"/>
      <c r="H159" s="26"/>
      <c r="I159" s="26"/>
      <c r="J159" s="27"/>
      <c r="K159" s="26"/>
      <c r="L159" s="28"/>
      <c r="M159" s="27"/>
      <c r="N159" s="27"/>
      <c r="O159" s="27"/>
      <c r="P159" s="27"/>
      <c r="Q159" s="27"/>
      <c r="R159" s="27"/>
      <c r="S159" s="27"/>
      <c r="T159" s="27"/>
      <c r="U159" s="27"/>
      <c r="V159" s="19"/>
    </row>
    <row r="160" spans="1:22" x14ac:dyDescent="0.2">
      <c r="A160" s="16">
        <v>154</v>
      </c>
      <c r="B160" s="25"/>
      <c r="C160" s="26"/>
      <c r="D160" s="26"/>
      <c r="E160" s="26"/>
      <c r="F160" s="27"/>
      <c r="G160" s="26"/>
      <c r="H160" s="26"/>
      <c r="I160" s="26"/>
      <c r="J160" s="27"/>
      <c r="K160" s="26"/>
      <c r="L160" s="28"/>
      <c r="M160" s="27"/>
      <c r="N160" s="27"/>
      <c r="O160" s="27"/>
      <c r="P160" s="27"/>
      <c r="Q160" s="27"/>
      <c r="R160" s="27"/>
      <c r="S160" s="27"/>
      <c r="T160" s="27"/>
      <c r="U160" s="27"/>
      <c r="V160" s="19"/>
    </row>
    <row r="161" spans="1:22" x14ac:dyDescent="0.2">
      <c r="A161" s="16">
        <v>155</v>
      </c>
      <c r="B161" s="25"/>
      <c r="C161" s="26"/>
      <c r="D161" s="26"/>
      <c r="E161" s="26"/>
      <c r="F161" s="27"/>
      <c r="G161" s="26"/>
      <c r="H161" s="26"/>
      <c r="I161" s="26"/>
      <c r="J161" s="27"/>
      <c r="K161" s="26"/>
      <c r="L161" s="28"/>
      <c r="M161" s="27"/>
      <c r="N161" s="27"/>
      <c r="O161" s="27"/>
      <c r="P161" s="27"/>
      <c r="Q161" s="27"/>
      <c r="R161" s="27"/>
      <c r="S161" s="27"/>
      <c r="T161" s="27"/>
      <c r="U161" s="27"/>
      <c r="V161" s="19"/>
    </row>
    <row r="162" spans="1:22" x14ac:dyDescent="0.2">
      <c r="A162" s="16">
        <v>156</v>
      </c>
      <c r="B162" s="25"/>
      <c r="C162" s="26"/>
      <c r="D162" s="26"/>
      <c r="E162" s="26"/>
      <c r="F162" s="27"/>
      <c r="G162" s="26"/>
      <c r="H162" s="26"/>
      <c r="I162" s="26"/>
      <c r="J162" s="27"/>
      <c r="K162" s="26"/>
      <c r="L162" s="28"/>
      <c r="M162" s="27"/>
      <c r="N162" s="27"/>
      <c r="O162" s="27"/>
      <c r="P162" s="27"/>
      <c r="Q162" s="27"/>
      <c r="R162" s="27"/>
      <c r="S162" s="27"/>
      <c r="T162" s="27"/>
      <c r="U162" s="27"/>
      <c r="V162" s="19"/>
    </row>
    <row r="163" spans="1:22" x14ac:dyDescent="0.2">
      <c r="A163" s="16">
        <v>157</v>
      </c>
      <c r="B163" s="25"/>
      <c r="C163" s="26"/>
      <c r="D163" s="26"/>
      <c r="E163" s="26"/>
      <c r="F163" s="27"/>
      <c r="G163" s="26"/>
      <c r="H163" s="26"/>
      <c r="I163" s="26"/>
      <c r="J163" s="27"/>
      <c r="K163" s="26"/>
      <c r="L163" s="28"/>
      <c r="M163" s="27"/>
      <c r="N163" s="27"/>
      <c r="O163" s="27"/>
      <c r="P163" s="27"/>
      <c r="Q163" s="27"/>
      <c r="R163" s="27"/>
      <c r="S163" s="27"/>
      <c r="T163" s="27"/>
      <c r="U163" s="27"/>
      <c r="V163" s="19"/>
    </row>
    <row r="164" spans="1:22" x14ac:dyDescent="0.2">
      <c r="A164" s="16">
        <v>158</v>
      </c>
      <c r="B164" s="25"/>
      <c r="C164" s="26"/>
      <c r="D164" s="26"/>
      <c r="E164" s="26"/>
      <c r="F164" s="27"/>
      <c r="G164" s="26"/>
      <c r="H164" s="26"/>
      <c r="I164" s="26"/>
      <c r="J164" s="27"/>
      <c r="K164" s="26"/>
      <c r="L164" s="28"/>
      <c r="M164" s="27"/>
      <c r="N164" s="27"/>
      <c r="O164" s="27"/>
      <c r="P164" s="27"/>
      <c r="Q164" s="27"/>
      <c r="R164" s="27"/>
      <c r="S164" s="27"/>
      <c r="T164" s="27"/>
      <c r="U164" s="27"/>
      <c r="V164" s="19"/>
    </row>
    <row r="165" spans="1:22" x14ac:dyDescent="0.2">
      <c r="A165" s="16">
        <v>159</v>
      </c>
      <c r="B165" s="25"/>
      <c r="C165" s="26"/>
      <c r="D165" s="26"/>
      <c r="E165" s="26"/>
      <c r="F165" s="27"/>
      <c r="G165" s="26"/>
      <c r="H165" s="26"/>
      <c r="I165" s="26"/>
      <c r="J165" s="27"/>
      <c r="K165" s="26"/>
      <c r="L165" s="28"/>
      <c r="M165" s="27"/>
      <c r="N165" s="27"/>
      <c r="O165" s="27"/>
      <c r="P165" s="27"/>
      <c r="Q165" s="27"/>
      <c r="R165" s="27"/>
      <c r="S165" s="27"/>
      <c r="T165" s="27"/>
      <c r="U165" s="27"/>
      <c r="V165" s="19"/>
    </row>
    <row r="166" spans="1:22" x14ac:dyDescent="0.2">
      <c r="A166" s="16">
        <v>160</v>
      </c>
      <c r="B166" s="25"/>
      <c r="C166" s="26"/>
      <c r="D166" s="26"/>
      <c r="E166" s="26"/>
      <c r="F166" s="27"/>
      <c r="G166" s="26"/>
      <c r="H166" s="26"/>
      <c r="I166" s="26"/>
      <c r="J166" s="27"/>
      <c r="K166" s="26"/>
      <c r="L166" s="28"/>
      <c r="M166" s="27"/>
      <c r="N166" s="27"/>
      <c r="O166" s="27"/>
      <c r="P166" s="27"/>
      <c r="Q166" s="27"/>
      <c r="R166" s="27"/>
      <c r="S166" s="27"/>
      <c r="T166" s="27"/>
      <c r="U166" s="27"/>
      <c r="V166" s="19"/>
    </row>
    <row r="167" spans="1:22" x14ac:dyDescent="0.2">
      <c r="A167" s="16">
        <v>161</v>
      </c>
      <c r="B167" s="25"/>
      <c r="C167" s="26"/>
      <c r="D167" s="26"/>
      <c r="E167" s="26"/>
      <c r="F167" s="27"/>
      <c r="G167" s="26"/>
      <c r="H167" s="26"/>
      <c r="I167" s="26"/>
      <c r="J167" s="27"/>
      <c r="K167" s="26"/>
      <c r="L167" s="28"/>
      <c r="M167" s="27"/>
      <c r="N167" s="27"/>
      <c r="O167" s="27"/>
      <c r="P167" s="27"/>
      <c r="Q167" s="27"/>
      <c r="R167" s="27"/>
      <c r="S167" s="27"/>
      <c r="T167" s="27"/>
      <c r="U167" s="27"/>
      <c r="V167" s="19"/>
    </row>
    <row r="168" spans="1:22" x14ac:dyDescent="0.2">
      <c r="A168" s="16">
        <v>162</v>
      </c>
      <c r="B168" s="25"/>
      <c r="C168" s="26"/>
      <c r="D168" s="26"/>
      <c r="E168" s="26"/>
      <c r="F168" s="27"/>
      <c r="G168" s="26"/>
      <c r="H168" s="26"/>
      <c r="I168" s="26"/>
      <c r="J168" s="27"/>
      <c r="K168" s="26"/>
      <c r="L168" s="28"/>
      <c r="M168" s="27"/>
      <c r="N168" s="27"/>
      <c r="O168" s="27"/>
      <c r="P168" s="27"/>
      <c r="Q168" s="27"/>
      <c r="R168" s="27"/>
      <c r="S168" s="27"/>
      <c r="T168" s="27"/>
      <c r="U168" s="27"/>
      <c r="V168" s="19"/>
    </row>
    <row r="169" spans="1:22" x14ac:dyDescent="0.2">
      <c r="A169" s="16">
        <v>163</v>
      </c>
      <c r="B169" s="25"/>
      <c r="C169" s="26"/>
      <c r="D169" s="26"/>
      <c r="E169" s="26"/>
      <c r="F169" s="27"/>
      <c r="G169" s="26"/>
      <c r="H169" s="26"/>
      <c r="I169" s="26"/>
      <c r="J169" s="27"/>
      <c r="K169" s="26"/>
      <c r="L169" s="28"/>
      <c r="M169" s="27"/>
      <c r="N169" s="27"/>
      <c r="O169" s="27"/>
      <c r="P169" s="27"/>
      <c r="Q169" s="27"/>
      <c r="R169" s="27"/>
      <c r="S169" s="27"/>
      <c r="T169" s="27"/>
      <c r="U169" s="27"/>
      <c r="V169" s="19"/>
    </row>
    <row r="170" spans="1:22" x14ac:dyDescent="0.2">
      <c r="A170" s="16">
        <v>164</v>
      </c>
      <c r="B170" s="25"/>
      <c r="C170" s="26"/>
      <c r="D170" s="26"/>
      <c r="E170" s="26"/>
      <c r="F170" s="27"/>
      <c r="G170" s="26"/>
      <c r="H170" s="26"/>
      <c r="I170" s="26"/>
      <c r="J170" s="27"/>
      <c r="K170" s="26"/>
      <c r="L170" s="28"/>
      <c r="M170" s="27"/>
      <c r="N170" s="27"/>
      <c r="O170" s="27"/>
      <c r="P170" s="27"/>
      <c r="Q170" s="27"/>
      <c r="R170" s="27"/>
      <c r="S170" s="27"/>
      <c r="T170" s="27"/>
      <c r="U170" s="27"/>
      <c r="V170" s="19"/>
    </row>
    <row r="171" spans="1:22" x14ac:dyDescent="0.2">
      <c r="A171" s="16">
        <v>165</v>
      </c>
      <c r="B171" s="25"/>
      <c r="C171" s="26"/>
      <c r="D171" s="26"/>
      <c r="E171" s="26"/>
      <c r="F171" s="27"/>
      <c r="G171" s="26"/>
      <c r="H171" s="26"/>
      <c r="I171" s="26"/>
      <c r="J171" s="27"/>
      <c r="K171" s="26"/>
      <c r="L171" s="28"/>
      <c r="M171" s="27"/>
      <c r="N171" s="27"/>
      <c r="O171" s="27"/>
      <c r="P171" s="27"/>
      <c r="Q171" s="27"/>
      <c r="R171" s="27"/>
      <c r="S171" s="27"/>
      <c r="T171" s="27"/>
      <c r="U171" s="27"/>
      <c r="V171" s="19"/>
    </row>
    <row r="172" spans="1:22" x14ac:dyDescent="0.2">
      <c r="A172" s="16">
        <v>166</v>
      </c>
      <c r="B172" s="25"/>
      <c r="C172" s="26"/>
      <c r="D172" s="26"/>
      <c r="E172" s="26"/>
      <c r="F172" s="27"/>
      <c r="G172" s="26"/>
      <c r="H172" s="26"/>
      <c r="I172" s="26"/>
      <c r="J172" s="27"/>
      <c r="K172" s="26"/>
      <c r="L172" s="28"/>
      <c r="M172" s="27"/>
      <c r="N172" s="27"/>
      <c r="O172" s="27"/>
      <c r="P172" s="27"/>
      <c r="Q172" s="27"/>
      <c r="R172" s="27"/>
      <c r="S172" s="27"/>
      <c r="T172" s="27"/>
      <c r="U172" s="27"/>
      <c r="V172" s="19"/>
    </row>
    <row r="173" spans="1:22" x14ac:dyDescent="0.2">
      <c r="A173" s="16">
        <v>167</v>
      </c>
      <c r="B173" s="25"/>
      <c r="C173" s="26"/>
      <c r="D173" s="26"/>
      <c r="E173" s="26"/>
      <c r="F173" s="27"/>
      <c r="G173" s="26"/>
      <c r="H173" s="26"/>
      <c r="I173" s="26"/>
      <c r="J173" s="27"/>
      <c r="K173" s="26"/>
      <c r="L173" s="28"/>
      <c r="M173" s="27"/>
      <c r="N173" s="27"/>
      <c r="O173" s="27"/>
      <c r="P173" s="27"/>
      <c r="Q173" s="27"/>
      <c r="R173" s="27"/>
      <c r="S173" s="27"/>
      <c r="T173" s="27"/>
      <c r="U173" s="27"/>
      <c r="V173" s="19"/>
    </row>
    <row r="174" spans="1:22" x14ac:dyDescent="0.2">
      <c r="A174" s="16">
        <v>168</v>
      </c>
      <c r="B174" s="25"/>
      <c r="C174" s="26"/>
      <c r="D174" s="26"/>
      <c r="E174" s="26"/>
      <c r="F174" s="27"/>
      <c r="G174" s="26"/>
      <c r="H174" s="26"/>
      <c r="I174" s="26"/>
      <c r="J174" s="27"/>
      <c r="K174" s="26"/>
      <c r="L174" s="28"/>
      <c r="M174" s="27"/>
      <c r="N174" s="27"/>
      <c r="O174" s="27"/>
      <c r="P174" s="27"/>
      <c r="Q174" s="27"/>
      <c r="R174" s="27"/>
      <c r="S174" s="27"/>
      <c r="T174" s="27"/>
      <c r="U174" s="27"/>
      <c r="V174" s="19"/>
    </row>
    <row r="175" spans="1:22" x14ac:dyDescent="0.2">
      <c r="A175" s="16">
        <v>169</v>
      </c>
      <c r="B175" s="25"/>
      <c r="C175" s="26"/>
      <c r="D175" s="26"/>
      <c r="E175" s="26"/>
      <c r="F175" s="27"/>
      <c r="G175" s="26"/>
      <c r="H175" s="26"/>
      <c r="I175" s="26"/>
      <c r="J175" s="27"/>
      <c r="K175" s="26"/>
      <c r="L175" s="28"/>
      <c r="M175" s="27"/>
      <c r="N175" s="27"/>
      <c r="O175" s="27"/>
      <c r="P175" s="27"/>
      <c r="Q175" s="27"/>
      <c r="R175" s="27"/>
      <c r="S175" s="27"/>
      <c r="T175" s="27"/>
      <c r="U175" s="27"/>
      <c r="V175" s="19"/>
    </row>
    <row r="176" spans="1:22" x14ac:dyDescent="0.2">
      <c r="A176" s="16">
        <v>170</v>
      </c>
      <c r="B176" s="25"/>
      <c r="C176" s="26"/>
      <c r="D176" s="26"/>
      <c r="E176" s="26"/>
      <c r="F176" s="27"/>
      <c r="G176" s="26"/>
      <c r="H176" s="26"/>
      <c r="I176" s="26"/>
      <c r="J176" s="27"/>
      <c r="K176" s="26"/>
      <c r="L176" s="28"/>
      <c r="M176" s="27"/>
      <c r="N176" s="27"/>
      <c r="O176" s="27"/>
      <c r="P176" s="27"/>
      <c r="Q176" s="27"/>
      <c r="R176" s="27"/>
      <c r="S176" s="27"/>
      <c r="T176" s="27"/>
      <c r="U176" s="27"/>
      <c r="V176" s="19"/>
    </row>
    <row r="177" spans="1:22" x14ac:dyDescent="0.2">
      <c r="A177" s="16">
        <v>171</v>
      </c>
      <c r="B177" s="25"/>
      <c r="C177" s="26"/>
      <c r="D177" s="26"/>
      <c r="E177" s="26"/>
      <c r="F177" s="27"/>
      <c r="G177" s="26"/>
      <c r="H177" s="26"/>
      <c r="I177" s="26"/>
      <c r="J177" s="27"/>
      <c r="K177" s="26"/>
      <c r="L177" s="28"/>
      <c r="M177" s="27"/>
      <c r="N177" s="27"/>
      <c r="O177" s="27"/>
      <c r="P177" s="27"/>
      <c r="Q177" s="27"/>
      <c r="R177" s="27"/>
      <c r="S177" s="27"/>
      <c r="T177" s="27"/>
      <c r="U177" s="27"/>
      <c r="V177" s="19"/>
    </row>
    <row r="178" spans="1:22" x14ac:dyDescent="0.2">
      <c r="A178" s="16">
        <v>172</v>
      </c>
      <c r="B178" s="25"/>
      <c r="C178" s="26"/>
      <c r="D178" s="26"/>
      <c r="E178" s="26"/>
      <c r="F178" s="27"/>
      <c r="G178" s="26"/>
      <c r="H178" s="26"/>
      <c r="I178" s="26"/>
      <c r="J178" s="27"/>
      <c r="K178" s="26"/>
      <c r="L178" s="28"/>
      <c r="M178" s="27"/>
      <c r="N178" s="27"/>
      <c r="O178" s="27"/>
      <c r="P178" s="27"/>
      <c r="Q178" s="27"/>
      <c r="R178" s="27"/>
      <c r="S178" s="27"/>
      <c r="T178" s="27"/>
      <c r="U178" s="27"/>
      <c r="V178" s="19"/>
    </row>
    <row r="179" spans="1:22" x14ac:dyDescent="0.2">
      <c r="A179" s="16">
        <v>173</v>
      </c>
      <c r="B179" s="25"/>
      <c r="C179" s="26"/>
      <c r="D179" s="26"/>
      <c r="E179" s="26"/>
      <c r="F179" s="27"/>
      <c r="G179" s="26"/>
      <c r="H179" s="26"/>
      <c r="I179" s="26"/>
      <c r="J179" s="27"/>
      <c r="K179" s="26"/>
      <c r="L179" s="28"/>
      <c r="M179" s="27"/>
      <c r="N179" s="27"/>
      <c r="O179" s="27"/>
      <c r="P179" s="27"/>
      <c r="Q179" s="27"/>
      <c r="R179" s="27"/>
      <c r="S179" s="27"/>
      <c r="T179" s="27"/>
      <c r="U179" s="27"/>
      <c r="V179" s="19"/>
    </row>
    <row r="180" spans="1:22" x14ac:dyDescent="0.2">
      <c r="A180" s="16">
        <v>174</v>
      </c>
      <c r="B180" s="25"/>
      <c r="C180" s="26"/>
      <c r="D180" s="26"/>
      <c r="E180" s="26"/>
      <c r="F180" s="27"/>
      <c r="G180" s="26"/>
      <c r="H180" s="26"/>
      <c r="I180" s="26"/>
      <c r="J180" s="27"/>
      <c r="K180" s="26"/>
      <c r="L180" s="28"/>
      <c r="M180" s="27"/>
      <c r="N180" s="27"/>
      <c r="O180" s="27"/>
      <c r="P180" s="27"/>
      <c r="Q180" s="27"/>
      <c r="R180" s="27"/>
      <c r="S180" s="27"/>
      <c r="T180" s="27"/>
      <c r="U180" s="27"/>
      <c r="V180" s="19"/>
    </row>
    <row r="181" spans="1:22" x14ac:dyDescent="0.2">
      <c r="A181" s="16">
        <v>175</v>
      </c>
      <c r="B181" s="25"/>
      <c r="C181" s="26"/>
      <c r="D181" s="26"/>
      <c r="E181" s="26"/>
      <c r="F181" s="27"/>
      <c r="G181" s="26"/>
      <c r="H181" s="26"/>
      <c r="I181" s="26"/>
      <c r="J181" s="27"/>
      <c r="K181" s="26"/>
      <c r="L181" s="28"/>
      <c r="M181" s="27"/>
      <c r="N181" s="27"/>
      <c r="O181" s="27"/>
      <c r="P181" s="27"/>
      <c r="Q181" s="27"/>
      <c r="R181" s="27"/>
      <c r="S181" s="27"/>
      <c r="T181" s="27"/>
      <c r="U181" s="27"/>
      <c r="V181" s="19"/>
    </row>
    <row r="182" spans="1:22" x14ac:dyDescent="0.2">
      <c r="A182" s="16">
        <v>176</v>
      </c>
      <c r="B182" s="25"/>
      <c r="C182" s="26"/>
      <c r="D182" s="26"/>
      <c r="E182" s="26"/>
      <c r="F182" s="27"/>
      <c r="G182" s="26"/>
      <c r="H182" s="26"/>
      <c r="I182" s="26"/>
      <c r="J182" s="27"/>
      <c r="K182" s="26"/>
      <c r="L182" s="28"/>
      <c r="M182" s="27"/>
      <c r="N182" s="27"/>
      <c r="O182" s="27"/>
      <c r="P182" s="27"/>
      <c r="Q182" s="27"/>
      <c r="R182" s="27"/>
      <c r="S182" s="27"/>
      <c r="T182" s="27"/>
      <c r="U182" s="27"/>
      <c r="V182" s="19"/>
    </row>
    <row r="183" spans="1:22" x14ac:dyDescent="0.2">
      <c r="A183" s="16">
        <v>177</v>
      </c>
      <c r="B183" s="25"/>
      <c r="C183" s="26"/>
      <c r="D183" s="26"/>
      <c r="E183" s="26"/>
      <c r="F183" s="27"/>
      <c r="G183" s="26"/>
      <c r="H183" s="26"/>
      <c r="I183" s="26"/>
      <c r="J183" s="27"/>
      <c r="K183" s="26"/>
      <c r="L183" s="28"/>
      <c r="M183" s="27"/>
      <c r="N183" s="27"/>
      <c r="O183" s="27"/>
      <c r="P183" s="27"/>
      <c r="Q183" s="27"/>
      <c r="R183" s="27"/>
      <c r="S183" s="27"/>
      <c r="T183" s="27"/>
      <c r="U183" s="27"/>
      <c r="V183" s="19"/>
    </row>
    <row r="184" spans="1:22" x14ac:dyDescent="0.2">
      <c r="A184" s="16">
        <v>178</v>
      </c>
      <c r="B184" s="25"/>
      <c r="C184" s="26"/>
      <c r="D184" s="26"/>
      <c r="E184" s="26"/>
      <c r="F184" s="27"/>
      <c r="G184" s="26"/>
      <c r="H184" s="26"/>
      <c r="I184" s="26"/>
      <c r="J184" s="27"/>
      <c r="K184" s="26"/>
      <c r="L184" s="28"/>
      <c r="M184" s="27"/>
      <c r="N184" s="27"/>
      <c r="O184" s="27"/>
      <c r="P184" s="27"/>
      <c r="Q184" s="27"/>
      <c r="R184" s="27"/>
      <c r="S184" s="27"/>
      <c r="T184" s="27"/>
      <c r="U184" s="27"/>
      <c r="V184" s="19"/>
    </row>
    <row r="185" spans="1:22" x14ac:dyDescent="0.2">
      <c r="A185" s="16">
        <v>179</v>
      </c>
      <c r="B185" s="25"/>
      <c r="C185" s="26"/>
      <c r="D185" s="26"/>
      <c r="E185" s="26"/>
      <c r="F185" s="27"/>
      <c r="G185" s="26"/>
      <c r="H185" s="26"/>
      <c r="I185" s="26"/>
      <c r="J185" s="27"/>
      <c r="K185" s="26"/>
      <c r="L185" s="28"/>
      <c r="M185" s="27"/>
      <c r="N185" s="27"/>
      <c r="O185" s="27"/>
      <c r="P185" s="27"/>
      <c r="Q185" s="27"/>
      <c r="R185" s="27"/>
      <c r="S185" s="27"/>
      <c r="T185" s="27"/>
      <c r="U185" s="27"/>
      <c r="V185" s="19"/>
    </row>
    <row r="186" spans="1:22" x14ac:dyDescent="0.2">
      <c r="A186" s="16">
        <v>180</v>
      </c>
      <c r="B186" s="25"/>
      <c r="C186" s="26"/>
      <c r="D186" s="26"/>
      <c r="E186" s="26"/>
      <c r="F186" s="27"/>
      <c r="G186" s="26"/>
      <c r="H186" s="26"/>
      <c r="I186" s="26"/>
      <c r="J186" s="27"/>
      <c r="K186" s="26"/>
      <c r="L186" s="28"/>
      <c r="M186" s="27"/>
      <c r="N186" s="27"/>
      <c r="O186" s="27"/>
      <c r="P186" s="27"/>
      <c r="Q186" s="27"/>
      <c r="R186" s="27"/>
      <c r="S186" s="27"/>
      <c r="T186" s="27"/>
      <c r="U186" s="27"/>
      <c r="V186" s="19"/>
    </row>
    <row r="187" spans="1:22" x14ac:dyDescent="0.2">
      <c r="A187" s="16">
        <v>181</v>
      </c>
      <c r="B187" s="25"/>
      <c r="C187" s="26"/>
      <c r="D187" s="26"/>
      <c r="E187" s="26"/>
      <c r="F187" s="27"/>
      <c r="G187" s="26"/>
      <c r="H187" s="26"/>
      <c r="I187" s="26"/>
      <c r="J187" s="27"/>
      <c r="K187" s="26"/>
      <c r="L187" s="28"/>
      <c r="M187" s="27"/>
      <c r="N187" s="27"/>
      <c r="O187" s="27"/>
      <c r="P187" s="27"/>
      <c r="Q187" s="27"/>
      <c r="R187" s="27"/>
      <c r="S187" s="27"/>
      <c r="T187" s="27"/>
      <c r="U187" s="27"/>
      <c r="V187" s="19"/>
    </row>
    <row r="188" spans="1:22" x14ac:dyDescent="0.2">
      <c r="A188" s="16">
        <v>182</v>
      </c>
      <c r="B188" s="25"/>
      <c r="C188" s="26"/>
      <c r="D188" s="26"/>
      <c r="E188" s="26"/>
      <c r="F188" s="27"/>
      <c r="G188" s="26"/>
      <c r="H188" s="26"/>
      <c r="I188" s="26"/>
      <c r="J188" s="27"/>
      <c r="K188" s="26"/>
      <c r="L188" s="28"/>
      <c r="M188" s="27"/>
      <c r="N188" s="27"/>
      <c r="O188" s="27"/>
      <c r="P188" s="27"/>
      <c r="Q188" s="27"/>
      <c r="R188" s="27"/>
      <c r="S188" s="27"/>
      <c r="T188" s="27"/>
      <c r="U188" s="27"/>
      <c r="V188" s="19"/>
    </row>
    <row r="189" spans="1:22" x14ac:dyDescent="0.2">
      <c r="A189" s="16">
        <v>183</v>
      </c>
      <c r="B189" s="25"/>
      <c r="C189" s="26"/>
      <c r="D189" s="26"/>
      <c r="E189" s="26"/>
      <c r="F189" s="27"/>
      <c r="G189" s="26"/>
      <c r="H189" s="26"/>
      <c r="I189" s="26"/>
      <c r="J189" s="27"/>
      <c r="K189" s="26"/>
      <c r="L189" s="28"/>
      <c r="M189" s="27"/>
      <c r="N189" s="27"/>
      <c r="O189" s="27"/>
      <c r="P189" s="27"/>
      <c r="Q189" s="27"/>
      <c r="R189" s="27"/>
      <c r="S189" s="27"/>
      <c r="T189" s="27"/>
      <c r="U189" s="27"/>
      <c r="V189" s="19"/>
    </row>
    <row r="190" spans="1:22" x14ac:dyDescent="0.2">
      <c r="A190" s="16">
        <v>184</v>
      </c>
      <c r="B190" s="25"/>
      <c r="C190" s="26"/>
      <c r="D190" s="26"/>
      <c r="E190" s="26"/>
      <c r="F190" s="27"/>
      <c r="G190" s="26"/>
      <c r="H190" s="26"/>
      <c r="I190" s="26"/>
      <c r="J190" s="27"/>
      <c r="K190" s="26"/>
      <c r="L190" s="28"/>
      <c r="M190" s="27"/>
      <c r="N190" s="27"/>
      <c r="O190" s="27"/>
      <c r="P190" s="27"/>
      <c r="Q190" s="27"/>
      <c r="R190" s="27"/>
      <c r="S190" s="27"/>
      <c r="T190" s="27"/>
      <c r="U190" s="27"/>
      <c r="V190" s="19"/>
    </row>
    <row r="191" spans="1:22" x14ac:dyDescent="0.2">
      <c r="A191" s="16">
        <v>185</v>
      </c>
      <c r="B191" s="25"/>
      <c r="C191" s="26"/>
      <c r="D191" s="26"/>
      <c r="E191" s="26"/>
      <c r="F191" s="27"/>
      <c r="G191" s="26"/>
      <c r="H191" s="26"/>
      <c r="I191" s="26"/>
      <c r="J191" s="27"/>
      <c r="K191" s="26"/>
      <c r="L191" s="28"/>
      <c r="M191" s="27"/>
      <c r="N191" s="27"/>
      <c r="O191" s="27"/>
      <c r="P191" s="27"/>
      <c r="Q191" s="27"/>
      <c r="R191" s="27"/>
      <c r="S191" s="27"/>
      <c r="T191" s="27"/>
      <c r="U191" s="27"/>
      <c r="V191" s="19"/>
    </row>
    <row r="192" spans="1:22" x14ac:dyDescent="0.2">
      <c r="A192" s="16">
        <v>186</v>
      </c>
      <c r="B192" s="25"/>
      <c r="C192" s="26"/>
      <c r="D192" s="26"/>
      <c r="E192" s="26"/>
      <c r="F192" s="27"/>
      <c r="G192" s="26"/>
      <c r="H192" s="26"/>
      <c r="I192" s="26"/>
      <c r="J192" s="27"/>
      <c r="K192" s="26"/>
      <c r="L192" s="28"/>
      <c r="M192" s="27"/>
      <c r="N192" s="27"/>
      <c r="O192" s="27"/>
      <c r="P192" s="27"/>
      <c r="Q192" s="27"/>
      <c r="R192" s="27"/>
      <c r="S192" s="27"/>
      <c r="T192" s="27"/>
      <c r="U192" s="27"/>
      <c r="V192" s="19"/>
    </row>
    <row r="193" spans="1:22" x14ac:dyDescent="0.2">
      <c r="A193" s="16">
        <v>187</v>
      </c>
      <c r="B193" s="25"/>
      <c r="C193" s="26"/>
      <c r="D193" s="26"/>
      <c r="E193" s="26"/>
      <c r="F193" s="27"/>
      <c r="G193" s="26"/>
      <c r="H193" s="26"/>
      <c r="I193" s="26"/>
      <c r="J193" s="27"/>
      <c r="K193" s="26"/>
      <c r="L193" s="28"/>
      <c r="M193" s="27"/>
      <c r="N193" s="27"/>
      <c r="O193" s="27"/>
      <c r="P193" s="27"/>
      <c r="Q193" s="27"/>
      <c r="R193" s="27"/>
      <c r="S193" s="27"/>
      <c r="T193" s="27"/>
      <c r="U193" s="27"/>
      <c r="V193" s="19"/>
    </row>
    <row r="194" spans="1:22" x14ac:dyDescent="0.2">
      <c r="A194" s="16">
        <v>188</v>
      </c>
      <c r="B194" s="25"/>
      <c r="C194" s="26"/>
      <c r="D194" s="26"/>
      <c r="E194" s="26"/>
      <c r="F194" s="27"/>
      <c r="G194" s="26"/>
      <c r="H194" s="26"/>
      <c r="I194" s="26"/>
      <c r="J194" s="27"/>
      <c r="K194" s="26"/>
      <c r="L194" s="28"/>
      <c r="M194" s="27"/>
      <c r="N194" s="27"/>
      <c r="O194" s="27"/>
      <c r="P194" s="27"/>
      <c r="Q194" s="27"/>
      <c r="R194" s="27"/>
      <c r="S194" s="27"/>
      <c r="T194" s="27"/>
      <c r="U194" s="27"/>
      <c r="V194" s="19"/>
    </row>
    <row r="195" spans="1:22" x14ac:dyDescent="0.2">
      <c r="A195" s="16">
        <v>189</v>
      </c>
      <c r="B195" s="25"/>
      <c r="C195" s="26"/>
      <c r="D195" s="26"/>
      <c r="E195" s="26"/>
      <c r="F195" s="27"/>
      <c r="G195" s="26"/>
      <c r="H195" s="26"/>
      <c r="I195" s="26"/>
      <c r="J195" s="27"/>
      <c r="K195" s="26"/>
      <c r="L195" s="28"/>
      <c r="M195" s="27"/>
      <c r="N195" s="27"/>
      <c r="O195" s="27"/>
      <c r="P195" s="27"/>
      <c r="Q195" s="27"/>
      <c r="R195" s="27"/>
      <c r="S195" s="27"/>
      <c r="T195" s="27"/>
      <c r="U195" s="27"/>
      <c r="V195" s="19"/>
    </row>
    <row r="196" spans="1:22" x14ac:dyDescent="0.2">
      <c r="A196" s="16">
        <v>190</v>
      </c>
      <c r="B196" s="25"/>
      <c r="C196" s="26"/>
      <c r="D196" s="26"/>
      <c r="E196" s="26"/>
      <c r="F196" s="27"/>
      <c r="G196" s="26"/>
      <c r="H196" s="26"/>
      <c r="I196" s="26"/>
      <c r="J196" s="27"/>
      <c r="K196" s="26"/>
      <c r="L196" s="28"/>
      <c r="M196" s="27"/>
      <c r="N196" s="27"/>
      <c r="O196" s="27"/>
      <c r="P196" s="27"/>
      <c r="Q196" s="27"/>
      <c r="R196" s="27"/>
      <c r="S196" s="27"/>
      <c r="T196" s="27"/>
      <c r="U196" s="27"/>
      <c r="V196" s="19"/>
    </row>
    <row r="197" spans="1:22" x14ac:dyDescent="0.2">
      <c r="A197" s="16">
        <v>191</v>
      </c>
      <c r="B197" s="25"/>
      <c r="C197" s="26"/>
      <c r="D197" s="26"/>
      <c r="E197" s="26"/>
      <c r="F197" s="27"/>
      <c r="G197" s="26"/>
      <c r="H197" s="26"/>
      <c r="I197" s="26"/>
      <c r="J197" s="27"/>
      <c r="K197" s="26"/>
      <c r="L197" s="28"/>
      <c r="M197" s="27"/>
      <c r="N197" s="27"/>
      <c r="O197" s="27"/>
      <c r="P197" s="27"/>
      <c r="Q197" s="27"/>
      <c r="R197" s="27"/>
      <c r="S197" s="27"/>
      <c r="T197" s="27"/>
      <c r="U197" s="27"/>
      <c r="V197" s="19"/>
    </row>
    <row r="198" spans="1:22" x14ac:dyDescent="0.2">
      <c r="A198" s="16">
        <v>192</v>
      </c>
      <c r="B198" s="25"/>
      <c r="C198" s="26"/>
      <c r="D198" s="26"/>
      <c r="E198" s="26"/>
      <c r="F198" s="27"/>
      <c r="G198" s="26"/>
      <c r="H198" s="26"/>
      <c r="I198" s="26"/>
      <c r="J198" s="27"/>
      <c r="K198" s="26"/>
      <c r="L198" s="28"/>
      <c r="M198" s="27"/>
      <c r="N198" s="27"/>
      <c r="O198" s="27"/>
      <c r="P198" s="27"/>
      <c r="Q198" s="27"/>
      <c r="R198" s="27"/>
      <c r="S198" s="27"/>
      <c r="T198" s="27"/>
      <c r="U198" s="27"/>
      <c r="V198" s="19"/>
    </row>
    <row r="199" spans="1:22" x14ac:dyDescent="0.2">
      <c r="A199" s="16">
        <v>193</v>
      </c>
      <c r="B199" s="25"/>
      <c r="C199" s="26"/>
      <c r="D199" s="26"/>
      <c r="E199" s="26"/>
      <c r="F199" s="27"/>
      <c r="G199" s="26"/>
      <c r="H199" s="26"/>
      <c r="I199" s="26"/>
      <c r="J199" s="27"/>
      <c r="K199" s="26"/>
      <c r="L199" s="28"/>
      <c r="M199" s="27"/>
      <c r="N199" s="27"/>
      <c r="O199" s="27"/>
      <c r="P199" s="27"/>
      <c r="Q199" s="27"/>
      <c r="R199" s="27"/>
      <c r="S199" s="27"/>
      <c r="T199" s="27"/>
      <c r="U199" s="27"/>
      <c r="V199" s="19"/>
    </row>
    <row r="200" spans="1:22" x14ac:dyDescent="0.2">
      <c r="A200" s="16">
        <v>194</v>
      </c>
      <c r="B200" s="25"/>
      <c r="C200" s="26"/>
      <c r="D200" s="26"/>
      <c r="E200" s="26"/>
      <c r="F200" s="27"/>
      <c r="G200" s="26"/>
      <c r="H200" s="26"/>
      <c r="I200" s="26"/>
      <c r="J200" s="27"/>
      <c r="K200" s="26"/>
      <c r="L200" s="28"/>
      <c r="M200" s="27"/>
      <c r="N200" s="27"/>
      <c r="O200" s="27"/>
      <c r="P200" s="27"/>
      <c r="Q200" s="27"/>
      <c r="R200" s="27"/>
      <c r="S200" s="27"/>
      <c r="T200" s="27"/>
      <c r="U200" s="27"/>
      <c r="V200" s="19"/>
    </row>
    <row r="201" spans="1:22" x14ac:dyDescent="0.2">
      <c r="A201" s="16">
        <v>195</v>
      </c>
      <c r="B201" s="25"/>
      <c r="C201" s="26"/>
      <c r="D201" s="26"/>
      <c r="E201" s="26"/>
      <c r="F201" s="27"/>
      <c r="G201" s="26"/>
      <c r="H201" s="26"/>
      <c r="I201" s="26"/>
      <c r="J201" s="27"/>
      <c r="K201" s="26"/>
      <c r="L201" s="28"/>
      <c r="M201" s="27"/>
      <c r="N201" s="27"/>
      <c r="O201" s="27"/>
      <c r="P201" s="27"/>
      <c r="Q201" s="27"/>
      <c r="R201" s="27"/>
      <c r="S201" s="27"/>
      <c r="T201" s="27"/>
      <c r="U201" s="27"/>
      <c r="V201" s="19"/>
    </row>
    <row r="202" spans="1:22" x14ac:dyDescent="0.2">
      <c r="A202" s="16">
        <v>196</v>
      </c>
      <c r="B202" s="25"/>
      <c r="C202" s="26"/>
      <c r="D202" s="26"/>
      <c r="E202" s="26"/>
      <c r="F202" s="27"/>
      <c r="G202" s="26"/>
      <c r="H202" s="26"/>
      <c r="I202" s="26"/>
      <c r="J202" s="27"/>
      <c r="K202" s="26"/>
      <c r="L202" s="28"/>
      <c r="M202" s="27"/>
      <c r="N202" s="27"/>
      <c r="O202" s="27"/>
      <c r="P202" s="27"/>
      <c r="Q202" s="27"/>
      <c r="R202" s="27"/>
      <c r="S202" s="27"/>
      <c r="T202" s="27"/>
      <c r="U202" s="27"/>
      <c r="V202" s="19"/>
    </row>
    <row r="203" spans="1:22" x14ac:dyDescent="0.2">
      <c r="A203" s="16">
        <v>197</v>
      </c>
      <c r="B203" s="25"/>
      <c r="C203" s="26"/>
      <c r="D203" s="26"/>
      <c r="E203" s="26"/>
      <c r="F203" s="27"/>
      <c r="G203" s="26"/>
      <c r="H203" s="26"/>
      <c r="I203" s="26"/>
      <c r="J203" s="27"/>
      <c r="K203" s="26"/>
      <c r="L203" s="28"/>
      <c r="M203" s="27"/>
      <c r="N203" s="27"/>
      <c r="O203" s="27"/>
      <c r="P203" s="27"/>
      <c r="Q203" s="27"/>
      <c r="R203" s="27"/>
      <c r="S203" s="27"/>
      <c r="T203" s="27"/>
      <c r="U203" s="27"/>
      <c r="V203" s="19"/>
    </row>
    <row r="204" spans="1:22" x14ac:dyDescent="0.2">
      <c r="A204" s="16">
        <v>198</v>
      </c>
      <c r="B204" s="25"/>
      <c r="C204" s="26"/>
      <c r="D204" s="26"/>
      <c r="E204" s="26"/>
      <c r="F204" s="27"/>
      <c r="G204" s="26"/>
      <c r="H204" s="26"/>
      <c r="I204" s="26"/>
      <c r="J204" s="27"/>
      <c r="K204" s="26"/>
      <c r="L204" s="28"/>
      <c r="M204" s="27"/>
      <c r="N204" s="27"/>
      <c r="O204" s="27"/>
      <c r="P204" s="27"/>
      <c r="Q204" s="27"/>
      <c r="R204" s="27"/>
      <c r="S204" s="27"/>
      <c r="T204" s="27"/>
      <c r="U204" s="27"/>
      <c r="V204" s="19"/>
    </row>
    <row r="205" spans="1:22" x14ac:dyDescent="0.2">
      <c r="A205" s="16">
        <v>199</v>
      </c>
      <c r="B205" s="25"/>
      <c r="C205" s="26"/>
      <c r="D205" s="26"/>
      <c r="E205" s="26"/>
      <c r="F205" s="27"/>
      <c r="G205" s="26"/>
      <c r="H205" s="26"/>
      <c r="I205" s="26"/>
      <c r="J205" s="27"/>
      <c r="K205" s="26"/>
      <c r="L205" s="28"/>
      <c r="M205" s="27"/>
      <c r="N205" s="27"/>
      <c r="O205" s="27"/>
      <c r="P205" s="27"/>
      <c r="Q205" s="27"/>
      <c r="R205" s="27"/>
      <c r="S205" s="27"/>
      <c r="T205" s="27"/>
      <c r="U205" s="27"/>
      <c r="V205" s="19"/>
    </row>
    <row r="206" spans="1:22" x14ac:dyDescent="0.2">
      <c r="A206" s="16">
        <v>200</v>
      </c>
      <c r="B206" s="25"/>
      <c r="C206" s="26"/>
      <c r="D206" s="26"/>
      <c r="E206" s="26"/>
      <c r="F206" s="27"/>
      <c r="G206" s="26"/>
      <c r="H206" s="26"/>
      <c r="I206" s="26"/>
      <c r="J206" s="27"/>
      <c r="K206" s="26"/>
      <c r="L206" s="28"/>
      <c r="M206" s="27"/>
      <c r="N206" s="27"/>
      <c r="O206" s="27"/>
      <c r="P206" s="27"/>
      <c r="Q206" s="27"/>
      <c r="R206" s="27"/>
      <c r="S206" s="27"/>
      <c r="T206" s="27"/>
      <c r="U206" s="27"/>
      <c r="V206" s="19"/>
    </row>
    <row r="207" spans="1:22" x14ac:dyDescent="0.2">
      <c r="A207" s="16">
        <v>201</v>
      </c>
      <c r="B207" s="25"/>
      <c r="C207" s="26"/>
      <c r="D207" s="26"/>
      <c r="E207" s="26"/>
      <c r="F207" s="27"/>
      <c r="G207" s="26"/>
      <c r="H207" s="26"/>
      <c r="I207" s="26"/>
      <c r="J207" s="27"/>
      <c r="K207" s="26"/>
      <c r="L207" s="28"/>
      <c r="M207" s="27"/>
      <c r="N207" s="27"/>
      <c r="O207" s="27"/>
      <c r="P207" s="27"/>
      <c r="Q207" s="27"/>
      <c r="R207" s="27"/>
      <c r="S207" s="27"/>
      <c r="T207" s="27"/>
      <c r="U207" s="27"/>
      <c r="V207" s="19"/>
    </row>
    <row r="208" spans="1:22" x14ac:dyDescent="0.2">
      <c r="A208" s="16">
        <v>202</v>
      </c>
      <c r="B208" s="25"/>
      <c r="C208" s="26"/>
      <c r="D208" s="26"/>
      <c r="E208" s="26"/>
      <c r="F208" s="27"/>
      <c r="G208" s="26"/>
      <c r="H208" s="26"/>
      <c r="I208" s="26"/>
      <c r="J208" s="27"/>
      <c r="K208" s="26"/>
      <c r="L208" s="28"/>
      <c r="M208" s="27"/>
      <c r="N208" s="27"/>
      <c r="O208" s="27"/>
      <c r="P208" s="27"/>
      <c r="Q208" s="27"/>
      <c r="R208" s="27"/>
      <c r="S208" s="27"/>
      <c r="T208" s="27"/>
      <c r="U208" s="27"/>
      <c r="V208" s="19"/>
    </row>
    <row r="209" spans="1:22" x14ac:dyDescent="0.2">
      <c r="A209" s="16">
        <v>203</v>
      </c>
      <c r="B209" s="25"/>
      <c r="C209" s="26"/>
      <c r="D209" s="26"/>
      <c r="E209" s="26"/>
      <c r="F209" s="27"/>
      <c r="G209" s="26"/>
      <c r="H209" s="26"/>
      <c r="I209" s="26"/>
      <c r="J209" s="27"/>
      <c r="K209" s="26"/>
      <c r="L209" s="28"/>
      <c r="M209" s="27"/>
      <c r="N209" s="27"/>
      <c r="O209" s="27"/>
      <c r="P209" s="27"/>
      <c r="Q209" s="27"/>
      <c r="R209" s="27"/>
      <c r="S209" s="27"/>
      <c r="T209" s="27"/>
      <c r="U209" s="27"/>
      <c r="V209" s="19"/>
    </row>
    <row r="210" spans="1:22" x14ac:dyDescent="0.2">
      <c r="A210" s="16">
        <v>204</v>
      </c>
      <c r="B210" s="25"/>
      <c r="C210" s="26"/>
      <c r="D210" s="26"/>
      <c r="E210" s="26"/>
      <c r="F210" s="27"/>
      <c r="G210" s="26"/>
      <c r="H210" s="26"/>
      <c r="I210" s="26"/>
      <c r="J210" s="27"/>
      <c r="K210" s="26"/>
      <c r="L210" s="28"/>
      <c r="M210" s="27"/>
      <c r="N210" s="27"/>
      <c r="O210" s="27"/>
      <c r="P210" s="27"/>
      <c r="Q210" s="27"/>
      <c r="R210" s="27"/>
      <c r="S210" s="27"/>
      <c r="T210" s="27"/>
      <c r="U210" s="27"/>
      <c r="V210" s="19"/>
    </row>
    <row r="211" spans="1:22" x14ac:dyDescent="0.2">
      <c r="A211" s="16">
        <v>205</v>
      </c>
      <c r="B211" s="25"/>
      <c r="C211" s="26"/>
      <c r="D211" s="26"/>
      <c r="E211" s="26"/>
      <c r="F211" s="27"/>
      <c r="G211" s="26"/>
      <c r="H211" s="26"/>
      <c r="I211" s="26"/>
      <c r="J211" s="27"/>
      <c r="K211" s="26"/>
      <c r="L211" s="28"/>
      <c r="M211" s="27"/>
      <c r="N211" s="27"/>
      <c r="O211" s="27"/>
      <c r="P211" s="27"/>
      <c r="Q211" s="27"/>
      <c r="R211" s="27"/>
      <c r="S211" s="27"/>
      <c r="T211" s="27"/>
      <c r="U211" s="27"/>
      <c r="V211" s="19"/>
    </row>
    <row r="212" spans="1:22" x14ac:dyDescent="0.2">
      <c r="A212" s="16">
        <v>206</v>
      </c>
      <c r="B212" s="25"/>
      <c r="C212" s="26"/>
      <c r="D212" s="26"/>
      <c r="E212" s="26"/>
      <c r="F212" s="27"/>
      <c r="G212" s="26"/>
      <c r="H212" s="26"/>
      <c r="I212" s="26"/>
      <c r="J212" s="27"/>
      <c r="K212" s="26"/>
      <c r="L212" s="28"/>
      <c r="M212" s="27"/>
      <c r="N212" s="27"/>
      <c r="O212" s="27"/>
      <c r="P212" s="27"/>
      <c r="Q212" s="27"/>
      <c r="R212" s="27"/>
      <c r="S212" s="27"/>
      <c r="T212" s="27"/>
      <c r="U212" s="27"/>
      <c r="V212" s="19"/>
    </row>
    <row r="213" spans="1:22" x14ac:dyDescent="0.2">
      <c r="A213" s="16">
        <v>207</v>
      </c>
      <c r="B213" s="25"/>
      <c r="C213" s="26"/>
      <c r="D213" s="26"/>
      <c r="E213" s="26"/>
      <c r="F213" s="27"/>
      <c r="G213" s="26"/>
      <c r="H213" s="26"/>
      <c r="I213" s="26"/>
      <c r="J213" s="27"/>
      <c r="K213" s="26"/>
      <c r="L213" s="28"/>
      <c r="M213" s="27"/>
      <c r="N213" s="27"/>
      <c r="O213" s="27"/>
      <c r="P213" s="27"/>
      <c r="Q213" s="27"/>
      <c r="R213" s="27"/>
      <c r="S213" s="27"/>
      <c r="T213" s="27"/>
      <c r="U213" s="27"/>
      <c r="V213" s="19"/>
    </row>
    <row r="214" spans="1:22" x14ac:dyDescent="0.2">
      <c r="A214" s="16">
        <v>208</v>
      </c>
      <c r="B214" s="25"/>
      <c r="C214" s="26"/>
      <c r="D214" s="26"/>
      <c r="E214" s="26"/>
      <c r="F214" s="27"/>
      <c r="G214" s="26"/>
      <c r="H214" s="26"/>
      <c r="I214" s="26"/>
      <c r="J214" s="27"/>
      <c r="K214" s="26"/>
      <c r="L214" s="28"/>
      <c r="M214" s="27"/>
      <c r="N214" s="27"/>
      <c r="O214" s="27"/>
      <c r="P214" s="27"/>
      <c r="Q214" s="27"/>
      <c r="R214" s="27"/>
      <c r="S214" s="27"/>
      <c r="T214" s="27"/>
      <c r="U214" s="27"/>
      <c r="V214" s="19"/>
    </row>
    <row r="215" spans="1:22" x14ac:dyDescent="0.2">
      <c r="A215" s="16">
        <v>209</v>
      </c>
      <c r="B215" s="25"/>
      <c r="C215" s="26"/>
      <c r="D215" s="26"/>
      <c r="E215" s="26"/>
      <c r="F215" s="27"/>
      <c r="G215" s="26"/>
      <c r="H215" s="26"/>
      <c r="I215" s="26"/>
      <c r="J215" s="27"/>
      <c r="K215" s="26"/>
      <c r="L215" s="28"/>
      <c r="M215" s="27"/>
      <c r="N215" s="27"/>
      <c r="O215" s="27"/>
      <c r="P215" s="27"/>
      <c r="Q215" s="27"/>
      <c r="R215" s="27"/>
      <c r="S215" s="27"/>
      <c r="T215" s="27"/>
      <c r="U215" s="27"/>
      <c r="V215" s="19"/>
    </row>
    <row r="216" spans="1:22" x14ac:dyDescent="0.2">
      <c r="A216" s="16">
        <v>210</v>
      </c>
      <c r="B216" s="25"/>
      <c r="C216" s="26"/>
      <c r="D216" s="26"/>
      <c r="E216" s="26"/>
      <c r="F216" s="27"/>
      <c r="G216" s="26"/>
      <c r="H216" s="26"/>
      <c r="I216" s="26"/>
      <c r="J216" s="27"/>
      <c r="K216" s="26"/>
      <c r="L216" s="28"/>
      <c r="M216" s="27"/>
      <c r="N216" s="27"/>
      <c r="O216" s="27"/>
      <c r="P216" s="27"/>
      <c r="Q216" s="27"/>
      <c r="R216" s="27"/>
      <c r="S216" s="27"/>
      <c r="T216" s="27"/>
      <c r="U216" s="27"/>
      <c r="V216" s="19"/>
    </row>
    <row r="217" spans="1:22" x14ac:dyDescent="0.2">
      <c r="A217" s="16">
        <v>211</v>
      </c>
      <c r="B217" s="25"/>
      <c r="C217" s="26"/>
      <c r="D217" s="26"/>
      <c r="E217" s="26"/>
      <c r="F217" s="27"/>
      <c r="G217" s="26"/>
      <c r="H217" s="26"/>
      <c r="I217" s="26"/>
      <c r="J217" s="27"/>
      <c r="K217" s="26"/>
      <c r="L217" s="28"/>
      <c r="M217" s="27"/>
      <c r="N217" s="27"/>
      <c r="O217" s="27"/>
      <c r="P217" s="27"/>
      <c r="Q217" s="27"/>
      <c r="R217" s="27"/>
      <c r="S217" s="27"/>
      <c r="T217" s="27"/>
      <c r="U217" s="27"/>
      <c r="V217" s="19"/>
    </row>
    <row r="218" spans="1:22" x14ac:dyDescent="0.2">
      <c r="A218" s="16">
        <v>212</v>
      </c>
      <c r="B218" s="25"/>
      <c r="C218" s="26"/>
      <c r="D218" s="26"/>
      <c r="E218" s="26"/>
      <c r="F218" s="27"/>
      <c r="G218" s="26"/>
      <c r="H218" s="26"/>
      <c r="I218" s="26"/>
      <c r="J218" s="27"/>
      <c r="K218" s="26"/>
      <c r="L218" s="28"/>
      <c r="M218" s="27"/>
      <c r="N218" s="27"/>
      <c r="O218" s="27"/>
      <c r="P218" s="27"/>
      <c r="Q218" s="27"/>
      <c r="R218" s="27"/>
      <c r="S218" s="27"/>
      <c r="T218" s="27"/>
      <c r="U218" s="27"/>
      <c r="V218" s="19"/>
    </row>
    <row r="219" spans="1:22" x14ac:dyDescent="0.2">
      <c r="A219" s="16">
        <v>213</v>
      </c>
      <c r="B219" s="25"/>
      <c r="C219" s="26"/>
      <c r="D219" s="26"/>
      <c r="E219" s="26"/>
      <c r="F219" s="27"/>
      <c r="G219" s="26"/>
      <c r="H219" s="26"/>
      <c r="I219" s="26"/>
      <c r="J219" s="27"/>
      <c r="K219" s="26"/>
      <c r="L219" s="28"/>
      <c r="M219" s="27"/>
      <c r="N219" s="27"/>
      <c r="O219" s="27"/>
      <c r="P219" s="27"/>
      <c r="Q219" s="27"/>
      <c r="R219" s="27"/>
      <c r="S219" s="27"/>
      <c r="T219" s="27"/>
      <c r="U219" s="27"/>
      <c r="V219" s="19"/>
    </row>
    <row r="220" spans="1:22" x14ac:dyDescent="0.2">
      <c r="A220" s="16">
        <v>214</v>
      </c>
      <c r="B220" s="25"/>
      <c r="C220" s="26"/>
      <c r="D220" s="26"/>
      <c r="E220" s="26"/>
      <c r="F220" s="27"/>
      <c r="G220" s="26"/>
      <c r="H220" s="26"/>
      <c r="I220" s="26"/>
      <c r="J220" s="27"/>
      <c r="K220" s="26"/>
      <c r="L220" s="28"/>
      <c r="M220" s="27"/>
      <c r="N220" s="27"/>
      <c r="O220" s="27"/>
      <c r="P220" s="27"/>
      <c r="Q220" s="27"/>
      <c r="R220" s="27"/>
      <c r="S220" s="27"/>
      <c r="T220" s="27"/>
      <c r="U220" s="27"/>
      <c r="V220" s="19"/>
    </row>
    <row r="221" spans="1:22" x14ac:dyDescent="0.2">
      <c r="A221" s="16">
        <v>215</v>
      </c>
      <c r="B221" s="25"/>
      <c r="C221" s="26"/>
      <c r="D221" s="26"/>
      <c r="E221" s="26"/>
      <c r="F221" s="27"/>
      <c r="G221" s="26"/>
      <c r="H221" s="26"/>
      <c r="I221" s="26"/>
      <c r="J221" s="27"/>
      <c r="K221" s="26"/>
      <c r="L221" s="28"/>
      <c r="M221" s="27"/>
      <c r="N221" s="27"/>
      <c r="O221" s="27"/>
      <c r="P221" s="27"/>
      <c r="Q221" s="27"/>
      <c r="R221" s="27"/>
      <c r="S221" s="27"/>
      <c r="T221" s="27"/>
      <c r="U221" s="27"/>
      <c r="V221" s="19"/>
    </row>
    <row r="222" spans="1:22" x14ac:dyDescent="0.2">
      <c r="A222" s="16">
        <v>216</v>
      </c>
      <c r="B222" s="25"/>
      <c r="C222" s="26"/>
      <c r="D222" s="26"/>
      <c r="E222" s="26"/>
      <c r="F222" s="27"/>
      <c r="G222" s="26"/>
      <c r="H222" s="26"/>
      <c r="I222" s="26"/>
      <c r="J222" s="27"/>
      <c r="K222" s="26"/>
      <c r="L222" s="28"/>
      <c r="M222" s="27"/>
      <c r="N222" s="27"/>
      <c r="O222" s="27"/>
      <c r="P222" s="27"/>
      <c r="Q222" s="27"/>
      <c r="R222" s="27"/>
      <c r="S222" s="27"/>
      <c r="T222" s="27"/>
      <c r="U222" s="27"/>
      <c r="V222" s="19"/>
    </row>
    <row r="223" spans="1:22" x14ac:dyDescent="0.2">
      <c r="A223" s="16">
        <v>217</v>
      </c>
      <c r="B223" s="25"/>
      <c r="C223" s="26"/>
      <c r="D223" s="26"/>
      <c r="E223" s="26"/>
      <c r="F223" s="27"/>
      <c r="G223" s="26"/>
      <c r="H223" s="26"/>
      <c r="I223" s="26"/>
      <c r="J223" s="27"/>
      <c r="K223" s="26"/>
      <c r="L223" s="28"/>
      <c r="M223" s="27"/>
      <c r="N223" s="27"/>
      <c r="O223" s="27"/>
      <c r="P223" s="27"/>
      <c r="Q223" s="27"/>
      <c r="R223" s="27"/>
      <c r="S223" s="27"/>
      <c r="T223" s="27"/>
      <c r="U223" s="27"/>
      <c r="V223" s="19"/>
    </row>
    <row r="224" spans="1:22" x14ac:dyDescent="0.2">
      <c r="A224" s="16">
        <v>218</v>
      </c>
      <c r="B224" s="25"/>
      <c r="C224" s="26"/>
      <c r="D224" s="26"/>
      <c r="E224" s="26"/>
      <c r="F224" s="27"/>
      <c r="G224" s="26"/>
      <c r="H224" s="26"/>
      <c r="I224" s="26"/>
      <c r="J224" s="27"/>
      <c r="K224" s="26"/>
      <c r="L224" s="28"/>
      <c r="M224" s="27"/>
      <c r="N224" s="27"/>
      <c r="O224" s="27"/>
      <c r="P224" s="27"/>
      <c r="Q224" s="27"/>
      <c r="R224" s="27"/>
      <c r="S224" s="27"/>
      <c r="T224" s="27"/>
      <c r="U224" s="27"/>
      <c r="V224" s="19"/>
    </row>
    <row r="225" spans="1:22" x14ac:dyDescent="0.2">
      <c r="A225" s="16">
        <v>219</v>
      </c>
      <c r="B225" s="25"/>
      <c r="C225" s="26"/>
      <c r="D225" s="26"/>
      <c r="E225" s="26"/>
      <c r="F225" s="27"/>
      <c r="G225" s="26"/>
      <c r="H225" s="26"/>
      <c r="I225" s="26"/>
      <c r="J225" s="27"/>
      <c r="K225" s="26"/>
      <c r="L225" s="28"/>
      <c r="M225" s="27"/>
      <c r="N225" s="27"/>
      <c r="O225" s="27"/>
      <c r="P225" s="27"/>
      <c r="Q225" s="27"/>
      <c r="R225" s="27"/>
      <c r="S225" s="27"/>
      <c r="T225" s="27"/>
      <c r="U225" s="27"/>
      <c r="V225" s="19"/>
    </row>
    <row r="226" spans="1:22" x14ac:dyDescent="0.2">
      <c r="A226" s="16">
        <v>220</v>
      </c>
      <c r="B226" s="25"/>
      <c r="C226" s="26"/>
      <c r="D226" s="26"/>
      <c r="E226" s="26"/>
      <c r="F226" s="27"/>
      <c r="G226" s="26"/>
      <c r="H226" s="26"/>
      <c r="I226" s="26"/>
      <c r="J226" s="27"/>
      <c r="K226" s="26"/>
      <c r="L226" s="28"/>
      <c r="M226" s="27"/>
      <c r="N226" s="27"/>
      <c r="O226" s="27"/>
      <c r="P226" s="27"/>
      <c r="Q226" s="27"/>
      <c r="R226" s="27"/>
      <c r="S226" s="27"/>
      <c r="T226" s="27"/>
      <c r="U226" s="27"/>
      <c r="V226" s="19"/>
    </row>
    <row r="227" spans="1:22" x14ac:dyDescent="0.2">
      <c r="A227" s="16">
        <v>221</v>
      </c>
      <c r="B227" s="25"/>
      <c r="C227" s="26"/>
      <c r="D227" s="26"/>
      <c r="E227" s="26"/>
      <c r="F227" s="27"/>
      <c r="G227" s="26"/>
      <c r="H227" s="26"/>
      <c r="I227" s="26"/>
      <c r="J227" s="27"/>
      <c r="K227" s="26"/>
      <c r="L227" s="28"/>
      <c r="M227" s="27"/>
      <c r="N227" s="27"/>
      <c r="O227" s="27"/>
      <c r="P227" s="27"/>
      <c r="Q227" s="27"/>
      <c r="R227" s="27"/>
      <c r="S227" s="27"/>
      <c r="T227" s="27"/>
      <c r="U227" s="27"/>
      <c r="V227" s="19"/>
    </row>
    <row r="228" spans="1:22" x14ac:dyDescent="0.2">
      <c r="A228" s="16">
        <v>222</v>
      </c>
      <c r="B228" s="25"/>
      <c r="C228" s="26"/>
      <c r="D228" s="26"/>
      <c r="E228" s="26"/>
      <c r="F228" s="27"/>
      <c r="G228" s="26"/>
      <c r="H228" s="26"/>
      <c r="I228" s="26"/>
      <c r="J228" s="27"/>
      <c r="K228" s="26"/>
      <c r="L228" s="28"/>
      <c r="M228" s="27"/>
      <c r="N228" s="27"/>
      <c r="O228" s="27"/>
      <c r="P228" s="27"/>
      <c r="Q228" s="27"/>
      <c r="R228" s="27"/>
      <c r="S228" s="27"/>
      <c r="T228" s="27"/>
      <c r="U228" s="27"/>
      <c r="V228" s="19"/>
    </row>
    <row r="229" spans="1:22" x14ac:dyDescent="0.2">
      <c r="A229" s="16">
        <v>223</v>
      </c>
      <c r="B229" s="25"/>
      <c r="C229" s="26"/>
      <c r="D229" s="26"/>
      <c r="E229" s="26"/>
      <c r="F229" s="27"/>
      <c r="G229" s="26"/>
      <c r="H229" s="26"/>
      <c r="I229" s="26"/>
      <c r="J229" s="27"/>
      <c r="K229" s="26"/>
      <c r="L229" s="28"/>
      <c r="M229" s="27"/>
      <c r="N229" s="27"/>
      <c r="O229" s="27"/>
      <c r="P229" s="27"/>
      <c r="Q229" s="27"/>
      <c r="R229" s="27"/>
      <c r="S229" s="27"/>
      <c r="T229" s="27"/>
      <c r="U229" s="27"/>
      <c r="V229" s="19"/>
    </row>
    <row r="230" spans="1:22" x14ac:dyDescent="0.2">
      <c r="A230" s="16">
        <v>224</v>
      </c>
      <c r="B230" s="25"/>
      <c r="C230" s="26"/>
      <c r="D230" s="26"/>
      <c r="E230" s="26"/>
      <c r="F230" s="27"/>
      <c r="G230" s="26"/>
      <c r="H230" s="26"/>
      <c r="I230" s="26"/>
      <c r="J230" s="27"/>
      <c r="K230" s="26"/>
      <c r="L230" s="28"/>
      <c r="M230" s="27"/>
      <c r="N230" s="27"/>
      <c r="O230" s="27"/>
      <c r="P230" s="27"/>
      <c r="Q230" s="27"/>
      <c r="R230" s="27"/>
      <c r="S230" s="27"/>
      <c r="T230" s="27"/>
      <c r="U230" s="27"/>
      <c r="V230" s="19"/>
    </row>
    <row r="231" spans="1:22" x14ac:dyDescent="0.2">
      <c r="A231" s="16">
        <v>225</v>
      </c>
      <c r="B231" s="25"/>
      <c r="C231" s="26"/>
      <c r="D231" s="26"/>
      <c r="E231" s="26"/>
      <c r="F231" s="27"/>
      <c r="G231" s="26"/>
      <c r="H231" s="26"/>
      <c r="I231" s="26"/>
      <c r="J231" s="27"/>
      <c r="K231" s="26"/>
      <c r="L231" s="28"/>
      <c r="M231" s="27"/>
      <c r="N231" s="27"/>
      <c r="O231" s="27"/>
      <c r="P231" s="27"/>
      <c r="Q231" s="27"/>
      <c r="R231" s="27"/>
      <c r="S231" s="27"/>
      <c r="T231" s="27"/>
      <c r="U231" s="27"/>
      <c r="V231" s="19"/>
    </row>
    <row r="232" spans="1:22" x14ac:dyDescent="0.2">
      <c r="A232" s="16">
        <v>226</v>
      </c>
      <c r="B232" s="25"/>
      <c r="C232" s="26"/>
      <c r="D232" s="26"/>
      <c r="E232" s="26"/>
      <c r="F232" s="27"/>
      <c r="G232" s="26"/>
      <c r="H232" s="26"/>
      <c r="I232" s="26"/>
      <c r="J232" s="27"/>
      <c r="K232" s="26"/>
      <c r="L232" s="28"/>
      <c r="M232" s="27"/>
      <c r="N232" s="27"/>
      <c r="O232" s="27"/>
      <c r="P232" s="27"/>
      <c r="Q232" s="27"/>
      <c r="R232" s="27"/>
      <c r="S232" s="27"/>
      <c r="T232" s="27"/>
      <c r="U232" s="27"/>
      <c r="V232" s="19"/>
    </row>
    <row r="233" spans="1:22" x14ac:dyDescent="0.2">
      <c r="A233" s="16">
        <v>227</v>
      </c>
      <c r="B233" s="25"/>
      <c r="C233" s="26"/>
      <c r="D233" s="26"/>
      <c r="E233" s="26"/>
      <c r="F233" s="27"/>
      <c r="G233" s="26"/>
      <c r="H233" s="26"/>
      <c r="I233" s="26"/>
      <c r="J233" s="27"/>
      <c r="K233" s="26"/>
      <c r="L233" s="28"/>
      <c r="M233" s="27"/>
      <c r="N233" s="27"/>
      <c r="O233" s="27"/>
      <c r="P233" s="27"/>
      <c r="Q233" s="27"/>
      <c r="R233" s="27"/>
      <c r="S233" s="27"/>
      <c r="T233" s="27"/>
      <c r="U233" s="27"/>
      <c r="V233" s="19"/>
    </row>
    <row r="234" spans="1:22" x14ac:dyDescent="0.2">
      <c r="A234" s="16">
        <v>228</v>
      </c>
      <c r="B234" s="25"/>
      <c r="C234" s="26"/>
      <c r="D234" s="26"/>
      <c r="E234" s="26"/>
      <c r="F234" s="27"/>
      <c r="G234" s="26"/>
      <c r="H234" s="26"/>
      <c r="I234" s="26"/>
      <c r="J234" s="27"/>
      <c r="K234" s="26"/>
      <c r="L234" s="28"/>
      <c r="M234" s="27"/>
      <c r="N234" s="27"/>
      <c r="O234" s="27"/>
      <c r="P234" s="27"/>
      <c r="Q234" s="27"/>
      <c r="R234" s="27"/>
      <c r="S234" s="27"/>
      <c r="T234" s="27"/>
      <c r="U234" s="27"/>
      <c r="V234" s="19"/>
    </row>
    <row r="235" spans="1:22" x14ac:dyDescent="0.2">
      <c r="A235" s="16">
        <v>229</v>
      </c>
      <c r="B235" s="25"/>
      <c r="C235" s="26"/>
      <c r="D235" s="26"/>
      <c r="E235" s="26"/>
      <c r="F235" s="27"/>
      <c r="G235" s="26"/>
      <c r="H235" s="26"/>
      <c r="I235" s="26"/>
      <c r="J235" s="27"/>
      <c r="K235" s="26"/>
      <c r="L235" s="28"/>
      <c r="M235" s="27"/>
      <c r="N235" s="27"/>
      <c r="O235" s="27"/>
      <c r="P235" s="27"/>
      <c r="Q235" s="27"/>
      <c r="R235" s="27"/>
      <c r="S235" s="27"/>
      <c r="T235" s="27"/>
      <c r="U235" s="27"/>
      <c r="V235" s="19"/>
    </row>
    <row r="236" spans="1:22" x14ac:dyDescent="0.2">
      <c r="A236" s="16">
        <v>230</v>
      </c>
      <c r="B236" s="25"/>
      <c r="C236" s="26"/>
      <c r="D236" s="26"/>
      <c r="E236" s="26"/>
      <c r="F236" s="27"/>
      <c r="G236" s="26"/>
      <c r="H236" s="26"/>
      <c r="I236" s="26"/>
      <c r="J236" s="27"/>
      <c r="K236" s="26"/>
      <c r="L236" s="28"/>
      <c r="M236" s="27"/>
      <c r="N236" s="27"/>
      <c r="O236" s="27"/>
      <c r="P236" s="27"/>
      <c r="Q236" s="27"/>
      <c r="R236" s="27"/>
      <c r="S236" s="27"/>
      <c r="T236" s="27"/>
      <c r="U236" s="27"/>
      <c r="V236" s="19"/>
    </row>
    <row r="237" spans="1:22" x14ac:dyDescent="0.2">
      <c r="A237" s="16">
        <v>231</v>
      </c>
      <c r="B237" s="25"/>
      <c r="C237" s="26"/>
      <c r="D237" s="26"/>
      <c r="E237" s="26"/>
      <c r="F237" s="27"/>
      <c r="G237" s="26"/>
      <c r="H237" s="26"/>
      <c r="I237" s="26"/>
      <c r="J237" s="27"/>
      <c r="K237" s="26"/>
      <c r="L237" s="28"/>
      <c r="M237" s="27"/>
      <c r="N237" s="27"/>
      <c r="O237" s="27"/>
      <c r="P237" s="27"/>
      <c r="Q237" s="27"/>
      <c r="R237" s="27"/>
      <c r="S237" s="27"/>
      <c r="T237" s="27"/>
      <c r="U237" s="27"/>
      <c r="V237" s="19"/>
    </row>
    <row r="238" spans="1:22" x14ac:dyDescent="0.2">
      <c r="A238" s="16">
        <v>232</v>
      </c>
      <c r="B238" s="25"/>
      <c r="C238" s="26"/>
      <c r="D238" s="26"/>
      <c r="E238" s="26"/>
      <c r="F238" s="27"/>
      <c r="G238" s="26"/>
      <c r="H238" s="26"/>
      <c r="I238" s="26"/>
      <c r="J238" s="27"/>
      <c r="K238" s="26"/>
      <c r="L238" s="28"/>
      <c r="M238" s="27"/>
      <c r="N238" s="27"/>
      <c r="O238" s="27"/>
      <c r="P238" s="27"/>
      <c r="Q238" s="27"/>
      <c r="R238" s="27"/>
      <c r="S238" s="27"/>
      <c r="T238" s="27"/>
      <c r="U238" s="27"/>
      <c r="V238" s="19"/>
    </row>
    <row r="239" spans="1:22" x14ac:dyDescent="0.2">
      <c r="A239" s="16">
        <v>233</v>
      </c>
      <c r="B239" s="25"/>
      <c r="C239" s="26"/>
      <c r="D239" s="26"/>
      <c r="E239" s="26"/>
      <c r="F239" s="27"/>
      <c r="G239" s="26"/>
      <c r="H239" s="26"/>
      <c r="I239" s="26"/>
      <c r="J239" s="27"/>
      <c r="K239" s="26"/>
      <c r="L239" s="28"/>
      <c r="M239" s="27"/>
      <c r="N239" s="27"/>
      <c r="O239" s="27"/>
      <c r="P239" s="27"/>
      <c r="Q239" s="27"/>
      <c r="R239" s="27"/>
      <c r="S239" s="27"/>
      <c r="T239" s="27"/>
      <c r="U239" s="27"/>
      <c r="V239" s="19"/>
    </row>
    <row r="240" spans="1:22" x14ac:dyDescent="0.2">
      <c r="A240" s="16">
        <v>234</v>
      </c>
      <c r="B240" s="25"/>
      <c r="C240" s="26"/>
      <c r="D240" s="26"/>
      <c r="E240" s="26"/>
      <c r="F240" s="27"/>
      <c r="G240" s="26"/>
      <c r="H240" s="26"/>
      <c r="I240" s="26"/>
      <c r="J240" s="27"/>
      <c r="K240" s="26"/>
      <c r="L240" s="28"/>
      <c r="M240" s="27"/>
      <c r="N240" s="27"/>
      <c r="O240" s="27"/>
      <c r="P240" s="27"/>
      <c r="Q240" s="27"/>
      <c r="R240" s="27"/>
      <c r="S240" s="27"/>
      <c r="T240" s="27"/>
      <c r="U240" s="27"/>
      <c r="V240" s="19"/>
    </row>
    <row r="241" spans="1:22" x14ac:dyDescent="0.2">
      <c r="A241" s="16">
        <v>235</v>
      </c>
      <c r="B241" s="25"/>
      <c r="C241" s="26"/>
      <c r="D241" s="26"/>
      <c r="E241" s="26"/>
      <c r="F241" s="27"/>
      <c r="G241" s="26"/>
      <c r="H241" s="26"/>
      <c r="I241" s="26"/>
      <c r="J241" s="27"/>
      <c r="K241" s="26"/>
      <c r="L241" s="28"/>
      <c r="M241" s="27"/>
      <c r="N241" s="27"/>
      <c r="O241" s="27"/>
      <c r="P241" s="27"/>
      <c r="Q241" s="27"/>
      <c r="R241" s="27"/>
      <c r="S241" s="27"/>
      <c r="T241" s="27"/>
      <c r="U241" s="27"/>
      <c r="V241" s="19"/>
    </row>
    <row r="242" spans="1:22" x14ac:dyDescent="0.2">
      <c r="A242" s="16">
        <v>236</v>
      </c>
      <c r="B242" s="25"/>
      <c r="C242" s="26"/>
      <c r="D242" s="26"/>
      <c r="E242" s="26"/>
      <c r="F242" s="27"/>
      <c r="G242" s="26"/>
      <c r="H242" s="26"/>
      <c r="I242" s="26"/>
      <c r="J242" s="27"/>
      <c r="K242" s="26"/>
      <c r="L242" s="28"/>
      <c r="M242" s="27"/>
      <c r="N242" s="27"/>
      <c r="O242" s="27"/>
      <c r="P242" s="27"/>
      <c r="Q242" s="27"/>
      <c r="R242" s="27"/>
      <c r="S242" s="27"/>
      <c r="T242" s="27"/>
      <c r="U242" s="27"/>
      <c r="V242" s="19"/>
    </row>
    <row r="243" spans="1:22" x14ac:dyDescent="0.2">
      <c r="A243" s="16">
        <v>237</v>
      </c>
      <c r="B243" s="25"/>
      <c r="C243" s="26"/>
      <c r="D243" s="26"/>
      <c r="E243" s="26"/>
      <c r="F243" s="27"/>
      <c r="G243" s="26"/>
      <c r="H243" s="26"/>
      <c r="I243" s="26"/>
      <c r="J243" s="27"/>
      <c r="K243" s="26"/>
      <c r="L243" s="28"/>
      <c r="M243" s="27"/>
      <c r="N243" s="27"/>
      <c r="O243" s="27"/>
      <c r="P243" s="27"/>
      <c r="Q243" s="27"/>
      <c r="R243" s="27"/>
      <c r="S243" s="27"/>
      <c r="T243" s="27"/>
      <c r="U243" s="27"/>
      <c r="V243" s="19"/>
    </row>
    <row r="244" spans="1:22" x14ac:dyDescent="0.2">
      <c r="A244" s="16">
        <v>238</v>
      </c>
      <c r="B244" s="25"/>
      <c r="C244" s="26"/>
      <c r="D244" s="26"/>
      <c r="E244" s="26"/>
      <c r="F244" s="27"/>
      <c r="G244" s="26"/>
      <c r="H244" s="26"/>
      <c r="I244" s="26"/>
      <c r="J244" s="27"/>
      <c r="K244" s="26"/>
      <c r="L244" s="28"/>
      <c r="M244" s="27"/>
      <c r="N244" s="27"/>
      <c r="O244" s="27"/>
      <c r="P244" s="27"/>
      <c r="Q244" s="27"/>
      <c r="R244" s="27"/>
      <c r="S244" s="27"/>
      <c r="T244" s="27"/>
      <c r="U244" s="27"/>
      <c r="V244" s="19"/>
    </row>
    <row r="245" spans="1:22" x14ac:dyDescent="0.2">
      <c r="A245" s="16">
        <v>239</v>
      </c>
      <c r="B245" s="25"/>
      <c r="C245" s="26"/>
      <c r="D245" s="26"/>
      <c r="E245" s="26"/>
      <c r="F245" s="27"/>
      <c r="G245" s="26"/>
      <c r="H245" s="26"/>
      <c r="I245" s="26"/>
      <c r="J245" s="27"/>
      <c r="K245" s="26"/>
      <c r="L245" s="28"/>
      <c r="M245" s="27"/>
      <c r="N245" s="27"/>
      <c r="O245" s="27"/>
      <c r="P245" s="27"/>
      <c r="Q245" s="27"/>
      <c r="R245" s="27"/>
      <c r="S245" s="27"/>
      <c r="T245" s="27"/>
      <c r="U245" s="27"/>
      <c r="V245" s="19"/>
    </row>
    <row r="246" spans="1:22" x14ac:dyDescent="0.2">
      <c r="A246" s="16">
        <v>240</v>
      </c>
      <c r="B246" s="25"/>
      <c r="C246" s="26"/>
      <c r="D246" s="26"/>
      <c r="E246" s="26"/>
      <c r="F246" s="27"/>
      <c r="G246" s="26"/>
      <c r="H246" s="26"/>
      <c r="I246" s="26"/>
      <c r="J246" s="27"/>
      <c r="K246" s="26"/>
      <c r="L246" s="28"/>
      <c r="M246" s="27"/>
      <c r="N246" s="27"/>
      <c r="O246" s="27"/>
      <c r="P246" s="27"/>
      <c r="Q246" s="27"/>
      <c r="R246" s="27"/>
      <c r="S246" s="27"/>
      <c r="T246" s="27"/>
      <c r="U246" s="27"/>
      <c r="V246" s="19"/>
    </row>
    <row r="247" spans="1:22" x14ac:dyDescent="0.2">
      <c r="A247" s="16">
        <v>241</v>
      </c>
      <c r="B247" s="25"/>
      <c r="C247" s="26"/>
      <c r="D247" s="26"/>
      <c r="E247" s="26"/>
      <c r="F247" s="27"/>
      <c r="G247" s="26"/>
      <c r="H247" s="26"/>
      <c r="I247" s="26"/>
      <c r="J247" s="27"/>
      <c r="K247" s="26"/>
      <c r="L247" s="28"/>
      <c r="M247" s="27"/>
      <c r="N247" s="27"/>
      <c r="O247" s="27"/>
      <c r="P247" s="27"/>
      <c r="Q247" s="27"/>
      <c r="R247" s="27"/>
      <c r="S247" s="27"/>
      <c r="T247" s="27"/>
      <c r="U247" s="27"/>
      <c r="V247" s="19"/>
    </row>
    <row r="248" spans="1:22" x14ac:dyDescent="0.2">
      <c r="A248" s="16">
        <v>242</v>
      </c>
      <c r="B248" s="25"/>
      <c r="C248" s="26"/>
      <c r="D248" s="26"/>
      <c r="E248" s="26"/>
      <c r="F248" s="27"/>
      <c r="G248" s="26"/>
      <c r="H248" s="26"/>
      <c r="I248" s="26"/>
      <c r="J248" s="27"/>
      <c r="K248" s="26"/>
      <c r="L248" s="28"/>
      <c r="M248" s="27"/>
      <c r="N248" s="27"/>
      <c r="O248" s="27"/>
      <c r="P248" s="27"/>
      <c r="Q248" s="27"/>
      <c r="R248" s="27"/>
      <c r="S248" s="27"/>
      <c r="T248" s="27"/>
      <c r="U248" s="27"/>
      <c r="V248" s="19"/>
    </row>
    <row r="249" spans="1:22" x14ac:dyDescent="0.2">
      <c r="A249" s="16">
        <v>243</v>
      </c>
      <c r="B249" s="25"/>
      <c r="C249" s="26"/>
      <c r="D249" s="26"/>
      <c r="E249" s="26"/>
      <c r="F249" s="27"/>
      <c r="G249" s="26"/>
      <c r="H249" s="26"/>
      <c r="I249" s="26"/>
      <c r="J249" s="27"/>
      <c r="K249" s="26"/>
      <c r="L249" s="28"/>
      <c r="M249" s="27"/>
      <c r="N249" s="27"/>
      <c r="O249" s="27"/>
      <c r="P249" s="27"/>
      <c r="Q249" s="27"/>
      <c r="R249" s="27"/>
      <c r="S249" s="27"/>
      <c r="T249" s="27"/>
      <c r="U249" s="27"/>
      <c r="V249" s="19"/>
    </row>
    <row r="250" spans="1:22" x14ac:dyDescent="0.2">
      <c r="A250" s="16">
        <v>244</v>
      </c>
      <c r="B250" s="25"/>
      <c r="C250" s="26"/>
      <c r="D250" s="26"/>
      <c r="E250" s="26"/>
      <c r="F250" s="27"/>
      <c r="G250" s="26"/>
      <c r="H250" s="26"/>
      <c r="I250" s="26"/>
      <c r="J250" s="27"/>
      <c r="K250" s="26"/>
      <c r="L250" s="28"/>
      <c r="M250" s="27"/>
      <c r="N250" s="27"/>
      <c r="O250" s="27"/>
      <c r="P250" s="27"/>
      <c r="Q250" s="27"/>
      <c r="R250" s="27"/>
      <c r="S250" s="27"/>
      <c r="T250" s="27"/>
      <c r="U250" s="27"/>
      <c r="V250" s="19"/>
    </row>
    <row r="251" spans="1:22" x14ac:dyDescent="0.2">
      <c r="A251" s="16">
        <v>245</v>
      </c>
      <c r="B251" s="25"/>
      <c r="C251" s="26"/>
      <c r="D251" s="26"/>
      <c r="E251" s="26"/>
      <c r="F251" s="27"/>
      <c r="G251" s="26"/>
      <c r="H251" s="26"/>
      <c r="I251" s="26"/>
      <c r="J251" s="27"/>
      <c r="K251" s="26"/>
      <c r="L251" s="28"/>
      <c r="M251" s="27"/>
      <c r="N251" s="27"/>
      <c r="O251" s="27"/>
      <c r="P251" s="27"/>
      <c r="Q251" s="27"/>
      <c r="R251" s="27"/>
      <c r="S251" s="27"/>
      <c r="T251" s="27"/>
      <c r="U251" s="27"/>
      <c r="V251" s="19"/>
    </row>
    <row r="252" spans="1:22" x14ac:dyDescent="0.2">
      <c r="A252" s="16">
        <v>246</v>
      </c>
      <c r="B252" s="25"/>
      <c r="C252" s="26"/>
      <c r="D252" s="26"/>
      <c r="E252" s="26"/>
      <c r="F252" s="27"/>
      <c r="G252" s="26"/>
      <c r="H252" s="26"/>
      <c r="I252" s="26"/>
      <c r="J252" s="27"/>
      <c r="K252" s="26"/>
      <c r="L252" s="28"/>
      <c r="M252" s="27"/>
      <c r="N252" s="27"/>
      <c r="O252" s="27"/>
      <c r="P252" s="27"/>
      <c r="Q252" s="27"/>
      <c r="R252" s="27"/>
      <c r="S252" s="27"/>
      <c r="T252" s="27"/>
      <c r="U252" s="27"/>
      <c r="V252" s="19"/>
    </row>
    <row r="253" spans="1:22" x14ac:dyDescent="0.2">
      <c r="A253" s="16">
        <v>247</v>
      </c>
      <c r="B253" s="25"/>
      <c r="C253" s="26"/>
      <c r="D253" s="26"/>
      <c r="E253" s="26"/>
      <c r="F253" s="27"/>
      <c r="G253" s="26"/>
      <c r="H253" s="26"/>
      <c r="I253" s="26"/>
      <c r="J253" s="27"/>
      <c r="K253" s="26"/>
      <c r="L253" s="28"/>
      <c r="M253" s="27"/>
      <c r="N253" s="27"/>
      <c r="O253" s="27"/>
      <c r="P253" s="27"/>
      <c r="Q253" s="27"/>
      <c r="R253" s="27"/>
      <c r="S253" s="27"/>
      <c r="T253" s="27"/>
      <c r="U253" s="27"/>
      <c r="V253" s="19"/>
    </row>
    <row r="254" spans="1:22" x14ac:dyDescent="0.2">
      <c r="A254" s="16">
        <v>248</v>
      </c>
      <c r="B254" s="25"/>
      <c r="C254" s="26"/>
      <c r="D254" s="26"/>
      <c r="E254" s="26"/>
      <c r="F254" s="27"/>
      <c r="G254" s="26"/>
      <c r="H254" s="26"/>
      <c r="I254" s="26"/>
      <c r="J254" s="27"/>
      <c r="K254" s="26"/>
      <c r="L254" s="28"/>
      <c r="M254" s="27"/>
      <c r="N254" s="27"/>
      <c r="O254" s="27"/>
      <c r="P254" s="27"/>
      <c r="Q254" s="27"/>
      <c r="R254" s="27"/>
      <c r="S254" s="27"/>
      <c r="T254" s="27"/>
      <c r="U254" s="27"/>
      <c r="V254" s="19"/>
    </row>
    <row r="255" spans="1:22" x14ac:dyDescent="0.2">
      <c r="A255" s="16">
        <v>249</v>
      </c>
      <c r="B255" s="25"/>
      <c r="C255" s="26"/>
      <c r="D255" s="26"/>
      <c r="E255" s="26"/>
      <c r="F255" s="27"/>
      <c r="G255" s="26"/>
      <c r="H255" s="26"/>
      <c r="I255" s="26"/>
      <c r="J255" s="27"/>
      <c r="K255" s="26"/>
      <c r="L255" s="28"/>
      <c r="M255" s="27"/>
      <c r="N255" s="27"/>
      <c r="O255" s="27"/>
      <c r="P255" s="27"/>
      <c r="Q255" s="27"/>
      <c r="R255" s="27"/>
      <c r="S255" s="27"/>
      <c r="T255" s="27"/>
      <c r="U255" s="27"/>
      <c r="V255" s="19"/>
    </row>
    <row r="256" spans="1:22" x14ac:dyDescent="0.2">
      <c r="A256" s="16">
        <v>250</v>
      </c>
      <c r="B256" s="25"/>
      <c r="C256" s="26"/>
      <c r="D256" s="26"/>
      <c r="E256" s="26"/>
      <c r="F256" s="27"/>
      <c r="G256" s="26"/>
      <c r="H256" s="26"/>
      <c r="I256" s="26"/>
      <c r="J256" s="27"/>
      <c r="K256" s="26"/>
      <c r="L256" s="28"/>
      <c r="M256" s="27"/>
      <c r="N256" s="27"/>
      <c r="O256" s="27"/>
      <c r="P256" s="27"/>
      <c r="Q256" s="27"/>
      <c r="R256" s="27"/>
      <c r="S256" s="27"/>
      <c r="T256" s="27"/>
      <c r="U256" s="27"/>
      <c r="V256" s="19"/>
    </row>
    <row r="257" spans="1:22" x14ac:dyDescent="0.2">
      <c r="A257" s="16">
        <v>251</v>
      </c>
      <c r="B257" s="25"/>
      <c r="C257" s="26"/>
      <c r="D257" s="26"/>
      <c r="E257" s="26"/>
      <c r="F257" s="27"/>
      <c r="G257" s="26"/>
      <c r="H257" s="26"/>
      <c r="I257" s="26"/>
      <c r="J257" s="27"/>
      <c r="K257" s="26"/>
      <c r="L257" s="28"/>
      <c r="M257" s="27"/>
      <c r="N257" s="27"/>
      <c r="O257" s="27"/>
      <c r="P257" s="27"/>
      <c r="Q257" s="27"/>
      <c r="R257" s="27"/>
      <c r="S257" s="27"/>
      <c r="T257" s="27"/>
      <c r="U257" s="27"/>
      <c r="V257" s="19"/>
    </row>
    <row r="258" spans="1:22" x14ac:dyDescent="0.2">
      <c r="A258" s="16">
        <v>252</v>
      </c>
      <c r="B258" s="25"/>
      <c r="C258" s="26"/>
      <c r="D258" s="26"/>
      <c r="E258" s="26"/>
      <c r="F258" s="27"/>
      <c r="G258" s="26"/>
      <c r="H258" s="26"/>
      <c r="I258" s="26"/>
      <c r="J258" s="27"/>
      <c r="K258" s="26"/>
      <c r="L258" s="28"/>
      <c r="M258" s="27"/>
      <c r="N258" s="27"/>
      <c r="O258" s="27"/>
      <c r="P258" s="27"/>
      <c r="Q258" s="27"/>
      <c r="R258" s="27"/>
      <c r="S258" s="27"/>
      <c r="T258" s="27"/>
      <c r="U258" s="27"/>
      <c r="V258" s="19"/>
    </row>
    <row r="259" spans="1:22" x14ac:dyDescent="0.2">
      <c r="A259" s="16">
        <v>253</v>
      </c>
      <c r="B259" s="25"/>
      <c r="C259" s="26"/>
      <c r="D259" s="26"/>
      <c r="E259" s="26"/>
      <c r="F259" s="27"/>
      <c r="G259" s="26"/>
      <c r="H259" s="26"/>
      <c r="I259" s="26"/>
      <c r="J259" s="27"/>
      <c r="K259" s="26"/>
      <c r="L259" s="28"/>
      <c r="M259" s="27"/>
      <c r="N259" s="27"/>
      <c r="O259" s="27"/>
      <c r="P259" s="27"/>
      <c r="Q259" s="27"/>
      <c r="R259" s="27"/>
      <c r="S259" s="27"/>
      <c r="T259" s="27"/>
      <c r="U259" s="27"/>
      <c r="V259" s="19"/>
    </row>
    <row r="260" spans="1:22" x14ac:dyDescent="0.2">
      <c r="A260" s="16">
        <v>254</v>
      </c>
      <c r="B260" s="25"/>
      <c r="C260" s="26"/>
      <c r="D260" s="26"/>
      <c r="E260" s="26"/>
      <c r="F260" s="27"/>
      <c r="G260" s="26"/>
      <c r="H260" s="26"/>
      <c r="I260" s="26"/>
      <c r="J260" s="27"/>
      <c r="K260" s="26"/>
      <c r="L260" s="28"/>
      <c r="M260" s="27"/>
      <c r="N260" s="27"/>
      <c r="O260" s="27"/>
      <c r="P260" s="27"/>
      <c r="Q260" s="27"/>
      <c r="R260" s="27"/>
      <c r="S260" s="27"/>
      <c r="T260" s="27"/>
      <c r="U260" s="27"/>
      <c r="V260" s="19"/>
    </row>
    <row r="261" spans="1:22" x14ac:dyDescent="0.2">
      <c r="A261" s="16">
        <v>255</v>
      </c>
      <c r="B261" s="25"/>
      <c r="C261" s="26"/>
      <c r="D261" s="26"/>
      <c r="E261" s="26"/>
      <c r="F261" s="27"/>
      <c r="G261" s="26"/>
      <c r="H261" s="26"/>
      <c r="I261" s="26"/>
      <c r="J261" s="27"/>
      <c r="K261" s="26"/>
      <c r="L261" s="28"/>
      <c r="M261" s="27"/>
      <c r="N261" s="27"/>
      <c r="O261" s="27"/>
      <c r="P261" s="27"/>
      <c r="Q261" s="27"/>
      <c r="R261" s="27"/>
      <c r="S261" s="27"/>
      <c r="T261" s="27"/>
      <c r="U261" s="27"/>
      <c r="V261" s="19"/>
    </row>
    <row r="262" spans="1:22" x14ac:dyDescent="0.2">
      <c r="A262" s="16">
        <v>256</v>
      </c>
      <c r="B262" s="25"/>
      <c r="C262" s="26"/>
      <c r="D262" s="26"/>
      <c r="E262" s="26"/>
      <c r="F262" s="27"/>
      <c r="G262" s="26"/>
      <c r="H262" s="26"/>
      <c r="I262" s="26"/>
      <c r="J262" s="27"/>
      <c r="K262" s="26"/>
      <c r="L262" s="28"/>
      <c r="M262" s="27"/>
      <c r="N262" s="27"/>
      <c r="O262" s="27"/>
      <c r="P262" s="27"/>
      <c r="Q262" s="27"/>
      <c r="R262" s="27"/>
      <c r="S262" s="27"/>
      <c r="T262" s="27"/>
      <c r="U262" s="27"/>
      <c r="V262" s="19"/>
    </row>
    <row r="263" spans="1:22" x14ac:dyDescent="0.2">
      <c r="A263" s="16">
        <v>257</v>
      </c>
      <c r="B263" s="25"/>
      <c r="C263" s="26"/>
      <c r="D263" s="26"/>
      <c r="E263" s="26"/>
      <c r="F263" s="27"/>
      <c r="G263" s="26"/>
      <c r="H263" s="26"/>
      <c r="I263" s="26"/>
      <c r="J263" s="27"/>
      <c r="K263" s="26"/>
      <c r="L263" s="28"/>
      <c r="M263" s="27"/>
      <c r="N263" s="27"/>
      <c r="O263" s="27"/>
      <c r="P263" s="27"/>
      <c r="Q263" s="27"/>
      <c r="R263" s="27"/>
      <c r="S263" s="27"/>
      <c r="T263" s="27"/>
      <c r="U263" s="27"/>
      <c r="V263" s="19"/>
    </row>
    <row r="264" spans="1:22" x14ac:dyDescent="0.2">
      <c r="A264" s="16">
        <v>258</v>
      </c>
      <c r="B264" s="25"/>
      <c r="C264" s="26"/>
      <c r="D264" s="26"/>
      <c r="E264" s="26"/>
      <c r="F264" s="27"/>
      <c r="G264" s="26"/>
      <c r="H264" s="26"/>
      <c r="I264" s="26"/>
      <c r="J264" s="27"/>
      <c r="K264" s="26"/>
      <c r="L264" s="28"/>
      <c r="M264" s="27"/>
      <c r="N264" s="27"/>
      <c r="O264" s="27"/>
      <c r="P264" s="27"/>
      <c r="Q264" s="27"/>
      <c r="R264" s="27"/>
      <c r="S264" s="27"/>
      <c r="T264" s="27"/>
      <c r="U264" s="27"/>
      <c r="V264" s="19"/>
    </row>
    <row r="265" spans="1:22" x14ac:dyDescent="0.2">
      <c r="A265" s="16">
        <v>259</v>
      </c>
      <c r="B265" s="25"/>
      <c r="C265" s="26"/>
      <c r="D265" s="26"/>
      <c r="E265" s="26"/>
      <c r="F265" s="27"/>
      <c r="G265" s="26"/>
      <c r="H265" s="26"/>
      <c r="I265" s="26"/>
      <c r="J265" s="27"/>
      <c r="K265" s="26"/>
      <c r="L265" s="28"/>
      <c r="M265" s="27"/>
      <c r="N265" s="27"/>
      <c r="O265" s="27"/>
      <c r="P265" s="27"/>
      <c r="Q265" s="27"/>
      <c r="R265" s="27"/>
      <c r="S265" s="27"/>
      <c r="T265" s="27"/>
      <c r="U265" s="27"/>
      <c r="V265" s="19"/>
    </row>
    <row r="266" spans="1:22" x14ac:dyDescent="0.2">
      <c r="A266" s="16">
        <v>260</v>
      </c>
      <c r="B266" s="25"/>
      <c r="C266" s="26"/>
      <c r="D266" s="26"/>
      <c r="E266" s="26"/>
      <c r="F266" s="27"/>
      <c r="G266" s="26"/>
      <c r="H266" s="26"/>
      <c r="I266" s="26"/>
      <c r="J266" s="27"/>
      <c r="K266" s="26"/>
      <c r="L266" s="28"/>
      <c r="M266" s="27"/>
      <c r="N266" s="27"/>
      <c r="O266" s="27"/>
      <c r="P266" s="27"/>
      <c r="Q266" s="27"/>
      <c r="R266" s="27"/>
      <c r="S266" s="27"/>
      <c r="T266" s="27"/>
      <c r="U266" s="27"/>
      <c r="V266" s="19"/>
    </row>
    <row r="267" spans="1:22" x14ac:dyDescent="0.2">
      <c r="A267" s="16">
        <v>261</v>
      </c>
      <c r="B267" s="25"/>
      <c r="C267" s="26"/>
      <c r="D267" s="26"/>
      <c r="E267" s="26"/>
      <c r="F267" s="27"/>
      <c r="G267" s="26"/>
      <c r="H267" s="26"/>
      <c r="I267" s="26"/>
      <c r="J267" s="27"/>
      <c r="K267" s="26"/>
      <c r="L267" s="28"/>
      <c r="M267" s="27"/>
      <c r="N267" s="27"/>
      <c r="O267" s="27"/>
      <c r="P267" s="27"/>
      <c r="Q267" s="27"/>
      <c r="R267" s="27"/>
      <c r="S267" s="27"/>
      <c r="T267" s="27"/>
      <c r="U267" s="27"/>
      <c r="V267" s="19"/>
    </row>
    <row r="268" spans="1:22" x14ac:dyDescent="0.2">
      <c r="A268" s="16">
        <v>262</v>
      </c>
      <c r="B268" s="25"/>
      <c r="C268" s="26"/>
      <c r="D268" s="26"/>
      <c r="E268" s="26"/>
      <c r="F268" s="27"/>
      <c r="G268" s="26"/>
      <c r="H268" s="26"/>
      <c r="I268" s="26"/>
      <c r="J268" s="27"/>
      <c r="K268" s="26"/>
      <c r="L268" s="28"/>
      <c r="M268" s="27"/>
      <c r="N268" s="27"/>
      <c r="O268" s="27"/>
      <c r="P268" s="27"/>
      <c r="Q268" s="27"/>
      <c r="R268" s="27"/>
      <c r="S268" s="27"/>
      <c r="T268" s="27"/>
      <c r="U268" s="27"/>
      <c r="V268" s="19"/>
    </row>
    <row r="269" spans="1:22" x14ac:dyDescent="0.2">
      <c r="A269" s="16">
        <v>263</v>
      </c>
      <c r="B269" s="25"/>
      <c r="C269" s="26"/>
      <c r="D269" s="26"/>
      <c r="E269" s="26"/>
      <c r="F269" s="27"/>
      <c r="G269" s="26"/>
      <c r="H269" s="26"/>
      <c r="I269" s="26"/>
      <c r="J269" s="27"/>
      <c r="K269" s="26"/>
      <c r="L269" s="28"/>
      <c r="M269" s="27"/>
      <c r="N269" s="27"/>
      <c r="O269" s="27"/>
      <c r="P269" s="27"/>
      <c r="Q269" s="27"/>
      <c r="R269" s="27"/>
      <c r="S269" s="27"/>
      <c r="T269" s="27"/>
      <c r="U269" s="27"/>
      <c r="V269" s="19"/>
    </row>
    <row r="270" spans="1:22" x14ac:dyDescent="0.2">
      <c r="A270" s="16">
        <v>264</v>
      </c>
      <c r="B270" s="25"/>
      <c r="C270" s="26"/>
      <c r="D270" s="26"/>
      <c r="E270" s="26"/>
      <c r="F270" s="27"/>
      <c r="G270" s="26"/>
      <c r="H270" s="26"/>
      <c r="I270" s="26"/>
      <c r="J270" s="27"/>
      <c r="K270" s="26"/>
      <c r="L270" s="28"/>
      <c r="M270" s="27"/>
      <c r="N270" s="27"/>
      <c r="O270" s="27"/>
      <c r="P270" s="27"/>
      <c r="Q270" s="27"/>
      <c r="R270" s="27"/>
      <c r="S270" s="27"/>
      <c r="T270" s="27"/>
      <c r="U270" s="27"/>
      <c r="V270" s="19"/>
    </row>
    <row r="271" spans="1:22" x14ac:dyDescent="0.2">
      <c r="A271" s="16">
        <v>265</v>
      </c>
      <c r="B271" s="25"/>
      <c r="C271" s="26"/>
      <c r="D271" s="26"/>
      <c r="E271" s="26"/>
      <c r="F271" s="27"/>
      <c r="G271" s="26"/>
      <c r="H271" s="26"/>
      <c r="I271" s="26"/>
      <c r="J271" s="27"/>
      <c r="K271" s="26"/>
      <c r="L271" s="28"/>
      <c r="M271" s="27"/>
      <c r="N271" s="27"/>
      <c r="O271" s="27"/>
      <c r="P271" s="27"/>
      <c r="Q271" s="27"/>
      <c r="R271" s="27"/>
      <c r="S271" s="27"/>
      <c r="T271" s="27"/>
      <c r="U271" s="27"/>
      <c r="V271" s="19"/>
    </row>
    <row r="272" spans="1:22" x14ac:dyDescent="0.2">
      <c r="A272" s="16">
        <v>266</v>
      </c>
      <c r="B272" s="25"/>
      <c r="C272" s="26"/>
      <c r="D272" s="26"/>
      <c r="E272" s="26"/>
      <c r="F272" s="27"/>
      <c r="G272" s="26"/>
      <c r="H272" s="26"/>
      <c r="I272" s="26"/>
      <c r="J272" s="27"/>
      <c r="K272" s="26"/>
      <c r="L272" s="28"/>
      <c r="M272" s="27"/>
      <c r="N272" s="27"/>
      <c r="O272" s="27"/>
      <c r="P272" s="27"/>
      <c r="Q272" s="27"/>
      <c r="R272" s="27"/>
      <c r="S272" s="27"/>
      <c r="T272" s="27"/>
      <c r="U272" s="27"/>
      <c r="V272" s="19"/>
    </row>
    <row r="273" spans="1:22" x14ac:dyDescent="0.2">
      <c r="A273" s="16">
        <v>267</v>
      </c>
      <c r="B273" s="25"/>
      <c r="C273" s="26"/>
      <c r="D273" s="26"/>
      <c r="E273" s="26"/>
      <c r="F273" s="27"/>
      <c r="G273" s="26"/>
      <c r="H273" s="26"/>
      <c r="I273" s="26"/>
      <c r="J273" s="27"/>
      <c r="K273" s="26"/>
      <c r="L273" s="28"/>
      <c r="M273" s="27"/>
      <c r="N273" s="27"/>
      <c r="O273" s="27"/>
      <c r="P273" s="27"/>
      <c r="Q273" s="27"/>
      <c r="R273" s="27"/>
      <c r="S273" s="27"/>
      <c r="T273" s="27"/>
      <c r="U273" s="27"/>
      <c r="V273" s="19"/>
    </row>
    <row r="274" spans="1:22" x14ac:dyDescent="0.2">
      <c r="A274" s="16">
        <v>268</v>
      </c>
      <c r="B274" s="25"/>
      <c r="C274" s="26"/>
      <c r="D274" s="26"/>
      <c r="E274" s="26"/>
      <c r="F274" s="27"/>
      <c r="G274" s="26"/>
      <c r="H274" s="26"/>
      <c r="I274" s="26"/>
      <c r="J274" s="27"/>
      <c r="K274" s="26"/>
      <c r="L274" s="28"/>
      <c r="M274" s="27"/>
      <c r="N274" s="27"/>
      <c r="O274" s="27"/>
      <c r="P274" s="27"/>
      <c r="Q274" s="27"/>
      <c r="R274" s="27"/>
      <c r="S274" s="27"/>
      <c r="T274" s="27"/>
      <c r="U274" s="27"/>
      <c r="V274" s="19"/>
    </row>
    <row r="275" spans="1:22" x14ac:dyDescent="0.2">
      <c r="A275" s="16">
        <v>269</v>
      </c>
      <c r="B275" s="25"/>
      <c r="C275" s="26"/>
      <c r="D275" s="26"/>
      <c r="E275" s="26"/>
      <c r="F275" s="27"/>
      <c r="G275" s="26"/>
      <c r="H275" s="26"/>
      <c r="I275" s="26"/>
      <c r="J275" s="27"/>
      <c r="K275" s="26"/>
      <c r="L275" s="28"/>
      <c r="M275" s="27"/>
      <c r="N275" s="27"/>
      <c r="O275" s="27"/>
      <c r="P275" s="27"/>
      <c r="Q275" s="27"/>
      <c r="R275" s="27"/>
      <c r="S275" s="27"/>
      <c r="T275" s="27"/>
      <c r="U275" s="27"/>
      <c r="V275" s="19"/>
    </row>
    <row r="276" spans="1:22" x14ac:dyDescent="0.2">
      <c r="A276" s="16">
        <v>270</v>
      </c>
      <c r="B276" s="25"/>
      <c r="C276" s="26"/>
      <c r="D276" s="26"/>
      <c r="E276" s="26"/>
      <c r="F276" s="27"/>
      <c r="G276" s="26"/>
      <c r="H276" s="26"/>
      <c r="I276" s="26"/>
      <c r="J276" s="27"/>
      <c r="K276" s="26"/>
      <c r="L276" s="28"/>
      <c r="M276" s="27"/>
      <c r="N276" s="27"/>
      <c r="O276" s="27"/>
      <c r="P276" s="27"/>
      <c r="Q276" s="27"/>
      <c r="R276" s="27"/>
      <c r="S276" s="27"/>
      <c r="T276" s="27"/>
      <c r="U276" s="27"/>
      <c r="V276" s="19"/>
    </row>
    <row r="277" spans="1:22" x14ac:dyDescent="0.2">
      <c r="A277" s="16">
        <v>271</v>
      </c>
      <c r="B277" s="25"/>
      <c r="C277" s="26"/>
      <c r="D277" s="26"/>
      <c r="E277" s="26"/>
      <c r="F277" s="27"/>
      <c r="G277" s="26"/>
      <c r="H277" s="26"/>
      <c r="I277" s="26"/>
      <c r="J277" s="27"/>
      <c r="K277" s="26"/>
      <c r="L277" s="28"/>
      <c r="M277" s="27"/>
      <c r="N277" s="27"/>
      <c r="O277" s="27"/>
      <c r="P277" s="27"/>
      <c r="Q277" s="27"/>
      <c r="R277" s="27"/>
      <c r="S277" s="27"/>
      <c r="T277" s="27"/>
      <c r="U277" s="27"/>
      <c r="V277" s="19"/>
    </row>
    <row r="278" spans="1:22" x14ac:dyDescent="0.2">
      <c r="A278" s="16">
        <v>272</v>
      </c>
      <c r="B278" s="25"/>
      <c r="C278" s="26"/>
      <c r="D278" s="26"/>
      <c r="E278" s="26"/>
      <c r="F278" s="27"/>
      <c r="G278" s="26"/>
      <c r="H278" s="26"/>
      <c r="I278" s="26"/>
      <c r="J278" s="27"/>
      <c r="K278" s="26"/>
      <c r="L278" s="28"/>
      <c r="M278" s="27"/>
      <c r="N278" s="27"/>
      <c r="O278" s="27"/>
      <c r="P278" s="27"/>
      <c r="Q278" s="27"/>
      <c r="R278" s="27"/>
      <c r="S278" s="27"/>
      <c r="T278" s="27"/>
      <c r="U278" s="27"/>
      <c r="V278" s="19"/>
    </row>
    <row r="279" spans="1:22" x14ac:dyDescent="0.2">
      <c r="A279" s="16">
        <v>273</v>
      </c>
      <c r="B279" s="25"/>
      <c r="C279" s="26"/>
      <c r="D279" s="26"/>
      <c r="E279" s="26"/>
      <c r="F279" s="27"/>
      <c r="G279" s="26"/>
      <c r="H279" s="26"/>
      <c r="I279" s="26"/>
      <c r="J279" s="27"/>
      <c r="K279" s="26"/>
      <c r="L279" s="28"/>
      <c r="M279" s="27"/>
      <c r="N279" s="27"/>
      <c r="O279" s="27"/>
      <c r="P279" s="27"/>
      <c r="Q279" s="27"/>
      <c r="R279" s="27"/>
      <c r="S279" s="27"/>
      <c r="T279" s="27"/>
      <c r="U279" s="27"/>
      <c r="V279" s="19"/>
    </row>
    <row r="280" spans="1:22" x14ac:dyDescent="0.2">
      <c r="A280" s="16">
        <v>274</v>
      </c>
      <c r="B280" s="25"/>
      <c r="C280" s="26"/>
      <c r="D280" s="26"/>
      <c r="E280" s="26"/>
      <c r="F280" s="27"/>
      <c r="G280" s="26"/>
      <c r="H280" s="26"/>
      <c r="I280" s="26"/>
      <c r="J280" s="27"/>
      <c r="K280" s="26"/>
      <c r="L280" s="28"/>
      <c r="M280" s="27"/>
      <c r="N280" s="27"/>
      <c r="O280" s="27"/>
      <c r="P280" s="27"/>
      <c r="Q280" s="27"/>
      <c r="R280" s="27"/>
      <c r="S280" s="27"/>
      <c r="T280" s="27"/>
      <c r="U280" s="27"/>
      <c r="V280" s="19"/>
    </row>
    <row r="281" spans="1:22" x14ac:dyDescent="0.2">
      <c r="A281" s="16">
        <v>275</v>
      </c>
      <c r="B281" s="25"/>
      <c r="C281" s="26"/>
      <c r="D281" s="26"/>
      <c r="E281" s="26"/>
      <c r="F281" s="27"/>
      <c r="G281" s="26"/>
      <c r="H281" s="26"/>
      <c r="I281" s="26"/>
      <c r="J281" s="27"/>
      <c r="K281" s="26"/>
      <c r="L281" s="28"/>
      <c r="M281" s="27"/>
      <c r="N281" s="27"/>
      <c r="O281" s="27"/>
      <c r="P281" s="27"/>
      <c r="Q281" s="27"/>
      <c r="R281" s="27"/>
      <c r="S281" s="27"/>
      <c r="T281" s="27"/>
      <c r="U281" s="27"/>
      <c r="V281" s="19"/>
    </row>
    <row r="282" spans="1:22" x14ac:dyDescent="0.2">
      <c r="A282" s="16">
        <v>276</v>
      </c>
      <c r="B282" s="25"/>
      <c r="C282" s="26"/>
      <c r="D282" s="26"/>
      <c r="E282" s="26"/>
      <c r="F282" s="27"/>
      <c r="G282" s="26"/>
      <c r="H282" s="26"/>
      <c r="I282" s="26"/>
      <c r="J282" s="27"/>
      <c r="K282" s="26"/>
      <c r="L282" s="28"/>
      <c r="M282" s="27"/>
      <c r="N282" s="27"/>
      <c r="O282" s="27"/>
      <c r="P282" s="27"/>
      <c r="Q282" s="27"/>
      <c r="R282" s="27"/>
      <c r="S282" s="27"/>
      <c r="T282" s="27"/>
      <c r="U282" s="27"/>
      <c r="V282" s="19"/>
    </row>
    <row r="283" spans="1:22" x14ac:dyDescent="0.2">
      <c r="A283" s="16">
        <v>277</v>
      </c>
      <c r="B283" s="25"/>
      <c r="C283" s="26"/>
      <c r="D283" s="26"/>
      <c r="E283" s="26"/>
      <c r="F283" s="27"/>
      <c r="G283" s="26"/>
      <c r="H283" s="26"/>
      <c r="I283" s="26"/>
      <c r="J283" s="27"/>
      <c r="K283" s="26"/>
      <c r="L283" s="28"/>
      <c r="M283" s="27"/>
      <c r="N283" s="27"/>
      <c r="O283" s="27"/>
      <c r="P283" s="27"/>
      <c r="Q283" s="27"/>
      <c r="R283" s="27"/>
      <c r="S283" s="27"/>
      <c r="T283" s="27"/>
      <c r="U283" s="27"/>
      <c r="V283" s="19"/>
    </row>
    <row r="284" spans="1:22" x14ac:dyDescent="0.2">
      <c r="A284" s="16">
        <v>278</v>
      </c>
      <c r="B284" s="25"/>
      <c r="C284" s="26"/>
      <c r="D284" s="26"/>
      <c r="E284" s="26"/>
      <c r="F284" s="27"/>
      <c r="G284" s="26"/>
      <c r="H284" s="26"/>
      <c r="I284" s="26"/>
      <c r="J284" s="27"/>
      <c r="K284" s="26"/>
      <c r="L284" s="28"/>
      <c r="M284" s="27"/>
      <c r="N284" s="27"/>
      <c r="O284" s="27"/>
      <c r="P284" s="27"/>
      <c r="Q284" s="27"/>
      <c r="R284" s="27"/>
      <c r="S284" s="27"/>
      <c r="T284" s="27"/>
      <c r="U284" s="27"/>
      <c r="V284" s="19"/>
    </row>
    <row r="285" spans="1:22" x14ac:dyDescent="0.2">
      <c r="A285" s="16">
        <v>279</v>
      </c>
      <c r="B285" s="25"/>
      <c r="C285" s="26"/>
      <c r="D285" s="26"/>
      <c r="E285" s="26"/>
      <c r="F285" s="27"/>
      <c r="G285" s="26"/>
      <c r="H285" s="26"/>
      <c r="I285" s="26"/>
      <c r="J285" s="27"/>
      <c r="K285" s="26"/>
      <c r="L285" s="28"/>
      <c r="M285" s="27"/>
      <c r="N285" s="27"/>
      <c r="O285" s="27"/>
      <c r="P285" s="27"/>
      <c r="Q285" s="27"/>
      <c r="R285" s="27"/>
      <c r="S285" s="27"/>
      <c r="T285" s="27"/>
      <c r="U285" s="27"/>
      <c r="V285" s="19"/>
    </row>
    <row r="286" spans="1:22" x14ac:dyDescent="0.2">
      <c r="A286" s="16">
        <v>280</v>
      </c>
      <c r="B286" s="25"/>
      <c r="C286" s="26"/>
      <c r="D286" s="26"/>
      <c r="E286" s="26"/>
      <c r="F286" s="27"/>
      <c r="G286" s="26"/>
      <c r="H286" s="26"/>
      <c r="I286" s="26"/>
      <c r="J286" s="27"/>
      <c r="K286" s="26"/>
      <c r="L286" s="28"/>
      <c r="M286" s="27"/>
      <c r="N286" s="27"/>
      <c r="O286" s="27"/>
      <c r="P286" s="27"/>
      <c r="Q286" s="27"/>
      <c r="R286" s="27"/>
      <c r="S286" s="27"/>
      <c r="T286" s="27"/>
      <c r="U286" s="27"/>
      <c r="V286" s="19"/>
    </row>
    <row r="287" spans="1:22" x14ac:dyDescent="0.2">
      <c r="A287" s="16">
        <v>281</v>
      </c>
      <c r="B287" s="25"/>
      <c r="C287" s="26"/>
      <c r="D287" s="26"/>
      <c r="E287" s="26"/>
      <c r="F287" s="27"/>
      <c r="G287" s="26"/>
      <c r="H287" s="26"/>
      <c r="I287" s="26"/>
      <c r="J287" s="27"/>
      <c r="K287" s="26"/>
      <c r="L287" s="28"/>
      <c r="M287" s="27"/>
      <c r="N287" s="27"/>
      <c r="O287" s="27"/>
      <c r="P287" s="27"/>
      <c r="Q287" s="27"/>
      <c r="R287" s="27"/>
      <c r="S287" s="27"/>
      <c r="T287" s="27"/>
      <c r="U287" s="27"/>
      <c r="V287" s="19"/>
    </row>
    <row r="288" spans="1:22" x14ac:dyDescent="0.2">
      <c r="A288" s="16">
        <v>282</v>
      </c>
      <c r="B288" s="25"/>
      <c r="C288" s="26"/>
      <c r="D288" s="26"/>
      <c r="E288" s="26"/>
      <c r="F288" s="27"/>
      <c r="G288" s="26"/>
      <c r="H288" s="26"/>
      <c r="I288" s="26"/>
      <c r="J288" s="27"/>
      <c r="K288" s="26"/>
      <c r="L288" s="28"/>
      <c r="M288" s="27"/>
      <c r="N288" s="27"/>
      <c r="O288" s="27"/>
      <c r="P288" s="27"/>
      <c r="Q288" s="27"/>
      <c r="R288" s="27"/>
      <c r="S288" s="27"/>
      <c r="T288" s="27"/>
      <c r="U288" s="27"/>
      <c r="V288" s="19"/>
    </row>
    <row r="289" spans="1:22" x14ac:dyDescent="0.2">
      <c r="A289" s="16">
        <v>283</v>
      </c>
      <c r="B289" s="25"/>
      <c r="C289" s="26"/>
      <c r="D289" s="26"/>
      <c r="E289" s="26"/>
      <c r="F289" s="27"/>
      <c r="G289" s="26"/>
      <c r="H289" s="26"/>
      <c r="I289" s="26"/>
      <c r="J289" s="27"/>
      <c r="K289" s="26"/>
      <c r="L289" s="28"/>
      <c r="M289" s="27"/>
      <c r="N289" s="27"/>
      <c r="O289" s="27"/>
      <c r="P289" s="27"/>
      <c r="Q289" s="27"/>
      <c r="R289" s="27"/>
      <c r="S289" s="27"/>
      <c r="T289" s="27"/>
      <c r="U289" s="27"/>
      <c r="V289" s="19"/>
    </row>
    <row r="290" spans="1:22" x14ac:dyDescent="0.2">
      <c r="A290" s="16">
        <v>284</v>
      </c>
      <c r="B290" s="25"/>
      <c r="C290" s="29"/>
      <c r="D290" s="29"/>
      <c r="E290" s="28"/>
      <c r="F290" s="29"/>
      <c r="G290" s="29"/>
      <c r="H290" s="29"/>
      <c r="I290" s="29"/>
      <c r="J290" s="29"/>
      <c r="K290" s="29"/>
      <c r="L290" s="28"/>
      <c r="M290" s="28"/>
      <c r="N290" s="28"/>
      <c r="O290" s="28"/>
      <c r="P290" s="28"/>
      <c r="Q290" s="28"/>
      <c r="R290" s="28"/>
      <c r="S290" s="28"/>
      <c r="T290" s="28"/>
      <c r="U290" s="28"/>
    </row>
    <row r="291" spans="1:22" x14ac:dyDescent="0.2">
      <c r="A291" s="16">
        <v>285</v>
      </c>
      <c r="B291" s="25"/>
      <c r="C291" s="29"/>
      <c r="D291" s="29"/>
      <c r="E291" s="28"/>
      <c r="F291" s="29"/>
      <c r="G291" s="29"/>
      <c r="H291" s="29"/>
      <c r="I291" s="29"/>
      <c r="J291" s="29"/>
      <c r="K291" s="29"/>
      <c r="L291" s="28"/>
      <c r="M291" s="28"/>
      <c r="N291" s="28"/>
      <c r="O291" s="28"/>
      <c r="P291" s="28"/>
      <c r="Q291" s="28"/>
      <c r="R291" s="28"/>
      <c r="S291" s="28"/>
      <c r="T291" s="28"/>
      <c r="U291" s="28"/>
    </row>
    <row r="292" spans="1:22" x14ac:dyDescent="0.2">
      <c r="A292" s="16">
        <v>286</v>
      </c>
      <c r="B292" s="25"/>
      <c r="C292" s="29"/>
      <c r="D292" s="29"/>
      <c r="E292" s="28"/>
      <c r="F292" s="29"/>
      <c r="G292" s="29"/>
      <c r="H292" s="29"/>
      <c r="I292" s="29"/>
      <c r="J292" s="29"/>
      <c r="K292" s="29"/>
      <c r="L292" s="28"/>
      <c r="M292" s="28"/>
      <c r="N292" s="28"/>
      <c r="O292" s="28"/>
      <c r="P292" s="28"/>
      <c r="Q292" s="28"/>
      <c r="R292" s="28"/>
      <c r="S292" s="28"/>
      <c r="T292" s="28"/>
      <c r="U292" s="28"/>
    </row>
    <row r="293" spans="1:22" x14ac:dyDescent="0.2">
      <c r="A293" s="16">
        <v>287</v>
      </c>
      <c r="B293" s="25"/>
      <c r="C293" s="29"/>
      <c r="D293" s="29"/>
      <c r="E293" s="28"/>
      <c r="F293" s="29"/>
      <c r="G293" s="29"/>
      <c r="H293" s="29"/>
      <c r="I293" s="29"/>
      <c r="J293" s="29"/>
      <c r="K293" s="29"/>
      <c r="L293" s="28"/>
      <c r="M293" s="28"/>
      <c r="N293" s="28"/>
      <c r="O293" s="28"/>
      <c r="P293" s="28"/>
      <c r="Q293" s="28"/>
      <c r="R293" s="28"/>
      <c r="S293" s="28"/>
      <c r="T293" s="28"/>
      <c r="U293" s="28"/>
    </row>
    <row r="294" spans="1:22" x14ac:dyDescent="0.2">
      <c r="A294" s="16">
        <v>288</v>
      </c>
      <c r="B294" s="25"/>
      <c r="C294" s="29"/>
      <c r="D294" s="29"/>
      <c r="E294" s="28"/>
      <c r="F294" s="29"/>
      <c r="G294" s="29"/>
      <c r="H294" s="29"/>
      <c r="I294" s="29"/>
      <c r="J294" s="29"/>
      <c r="K294" s="29"/>
      <c r="L294" s="28"/>
      <c r="M294" s="28"/>
      <c r="N294" s="28"/>
      <c r="O294" s="28"/>
      <c r="P294" s="28"/>
      <c r="Q294" s="28"/>
      <c r="R294" s="28"/>
      <c r="S294" s="28"/>
      <c r="T294" s="28"/>
      <c r="U294" s="28"/>
    </row>
    <row r="295" spans="1:22" x14ac:dyDescent="0.2">
      <c r="A295" s="16">
        <v>289</v>
      </c>
      <c r="B295" s="25"/>
      <c r="C295" s="29"/>
      <c r="D295" s="29"/>
      <c r="E295" s="28"/>
      <c r="F295" s="29"/>
      <c r="G295" s="29"/>
      <c r="H295" s="29"/>
      <c r="I295" s="29"/>
      <c r="J295" s="29"/>
      <c r="K295" s="29"/>
      <c r="L295" s="28"/>
      <c r="M295" s="28"/>
      <c r="N295" s="28"/>
      <c r="O295" s="28"/>
      <c r="P295" s="28"/>
      <c r="Q295" s="28"/>
      <c r="R295" s="28"/>
      <c r="S295" s="28"/>
      <c r="T295" s="28"/>
      <c r="U295" s="28"/>
    </row>
    <row r="296" spans="1:22" x14ac:dyDescent="0.2">
      <c r="A296" s="21"/>
      <c r="B296" s="30"/>
      <c r="C296" s="29"/>
      <c r="D296" s="29"/>
      <c r="E296" s="28"/>
      <c r="F296" s="29"/>
      <c r="G296" s="29"/>
      <c r="H296" s="29"/>
      <c r="I296" s="29"/>
      <c r="J296" s="29"/>
      <c r="K296" s="29"/>
      <c r="L296" s="28"/>
      <c r="M296" s="28"/>
      <c r="N296" s="28"/>
      <c r="O296" s="28"/>
      <c r="P296" s="28"/>
      <c r="Q296" s="28"/>
      <c r="R296" s="28"/>
      <c r="S296" s="28"/>
      <c r="T296" s="28"/>
      <c r="U296" s="28"/>
    </row>
    <row r="297" spans="1:22" x14ac:dyDescent="0.2">
      <c r="A297" s="21"/>
      <c r="B297" s="30"/>
      <c r="C297" s="29"/>
      <c r="D297" s="29"/>
      <c r="E297" s="28"/>
      <c r="F297" s="29"/>
      <c r="G297" s="29"/>
      <c r="H297" s="29"/>
      <c r="I297" s="29"/>
      <c r="J297" s="29"/>
      <c r="K297" s="29"/>
      <c r="L297" s="28"/>
      <c r="M297" s="28"/>
      <c r="N297" s="28"/>
      <c r="O297" s="28"/>
      <c r="P297" s="28"/>
      <c r="Q297" s="28"/>
      <c r="R297" s="28"/>
      <c r="S297" s="28"/>
      <c r="T297" s="28"/>
      <c r="U297" s="28"/>
    </row>
    <row r="298" spans="1:22" x14ac:dyDescent="0.2">
      <c r="A298" s="21"/>
      <c r="B298" s="22"/>
      <c r="C298" s="20"/>
      <c r="D298" s="20"/>
      <c r="F298" s="20"/>
      <c r="G298" s="20"/>
      <c r="H298" s="20"/>
      <c r="I298" s="20"/>
      <c r="J298" s="20"/>
      <c r="K298" s="20"/>
    </row>
    <row r="299" spans="1:22" x14ac:dyDescent="0.2">
      <c r="A299" s="21"/>
      <c r="B299" s="22"/>
      <c r="C299" s="20"/>
      <c r="D299" s="20"/>
      <c r="F299" s="20"/>
      <c r="G299" s="20"/>
      <c r="H299" s="20"/>
      <c r="I299" s="20"/>
      <c r="J299" s="20"/>
      <c r="K299" s="20"/>
    </row>
    <row r="300" spans="1:22" x14ac:dyDescent="0.2">
      <c r="A300" s="21"/>
      <c r="B300" s="22"/>
      <c r="C300" s="20"/>
      <c r="D300" s="20"/>
      <c r="F300" s="20"/>
      <c r="G300" s="20"/>
      <c r="H300" s="20"/>
      <c r="I300" s="20"/>
      <c r="J300" s="20"/>
      <c r="K300" s="20"/>
    </row>
    <row r="301" spans="1:22" x14ac:dyDescent="0.2">
      <c r="A301" s="21"/>
      <c r="B301" s="22"/>
      <c r="C301" s="20"/>
      <c r="D301" s="20"/>
      <c r="F301" s="20"/>
      <c r="G301" s="20"/>
      <c r="H301" s="20"/>
      <c r="I301" s="20"/>
      <c r="J301" s="20"/>
      <c r="K301" s="20"/>
    </row>
    <row r="302" spans="1:22" x14ac:dyDescent="0.2">
      <c r="A302" s="21"/>
      <c r="B302" s="22"/>
      <c r="C302" s="20"/>
      <c r="D302" s="20"/>
      <c r="F302" s="20"/>
      <c r="G302" s="20"/>
      <c r="H302" s="20"/>
      <c r="I302" s="20"/>
      <c r="J302" s="20"/>
      <c r="K302" s="20"/>
    </row>
    <row r="303" spans="1:22" x14ac:dyDescent="0.2">
      <c r="A303" s="21"/>
      <c r="B303" s="22"/>
      <c r="C303" s="20"/>
      <c r="D303" s="20"/>
      <c r="F303" s="20"/>
      <c r="G303" s="20"/>
      <c r="H303" s="20"/>
      <c r="I303" s="20"/>
      <c r="J303" s="20"/>
      <c r="K303" s="20"/>
    </row>
    <row r="304" spans="1:22" x14ac:dyDescent="0.2">
      <c r="A304" s="21"/>
      <c r="B304" s="22"/>
      <c r="C304" s="20"/>
      <c r="D304" s="20"/>
      <c r="F304" s="20"/>
      <c r="G304" s="20"/>
      <c r="H304" s="20"/>
      <c r="I304" s="20"/>
      <c r="J304" s="20"/>
      <c r="K304" s="20"/>
    </row>
    <row r="305" spans="1:11" x14ac:dyDescent="0.2">
      <c r="A305" s="21"/>
      <c r="B305" s="22"/>
      <c r="C305" s="20"/>
      <c r="D305" s="20"/>
      <c r="F305" s="20"/>
      <c r="G305" s="20"/>
      <c r="H305" s="20"/>
      <c r="I305" s="20"/>
      <c r="J305" s="20"/>
      <c r="K305" s="20"/>
    </row>
    <row r="306" spans="1:11" x14ac:dyDescent="0.2">
      <c r="A306" s="21"/>
      <c r="B306" s="22"/>
      <c r="C306" s="20"/>
      <c r="D306" s="20"/>
      <c r="F306" s="20"/>
      <c r="G306" s="20"/>
      <c r="H306" s="20"/>
      <c r="I306" s="20"/>
      <c r="J306" s="20"/>
      <c r="K306" s="20"/>
    </row>
    <row r="307" spans="1:11" x14ac:dyDescent="0.2">
      <c r="A307" s="21"/>
      <c r="B307" s="22"/>
      <c r="C307" s="20"/>
      <c r="D307" s="20"/>
      <c r="F307" s="20"/>
      <c r="G307" s="20"/>
      <c r="H307" s="20"/>
      <c r="I307" s="20"/>
      <c r="J307" s="20"/>
      <c r="K307" s="20"/>
    </row>
    <row r="308" spans="1:11" x14ac:dyDescent="0.2">
      <c r="A308" s="21"/>
      <c r="B308" s="22"/>
      <c r="C308" s="20"/>
      <c r="D308" s="20"/>
      <c r="F308" s="20"/>
      <c r="G308" s="20"/>
      <c r="H308" s="20"/>
      <c r="I308" s="20"/>
      <c r="J308" s="20"/>
      <c r="K308" s="20"/>
    </row>
    <row r="309" spans="1:11" x14ac:dyDescent="0.2">
      <c r="A309" s="21"/>
      <c r="B309" s="22"/>
      <c r="C309" s="20"/>
      <c r="D309" s="20"/>
      <c r="F309" s="20"/>
      <c r="G309" s="20"/>
      <c r="H309" s="20"/>
      <c r="I309" s="20"/>
      <c r="J309" s="20"/>
      <c r="K309" s="20"/>
    </row>
    <row r="310" spans="1:11" x14ac:dyDescent="0.2">
      <c r="A310" s="21"/>
      <c r="B310" s="22"/>
      <c r="C310" s="20"/>
      <c r="D310" s="20"/>
      <c r="F310" s="20"/>
      <c r="G310" s="20"/>
      <c r="H310" s="20"/>
      <c r="I310" s="20"/>
      <c r="J310" s="20"/>
      <c r="K310" s="20"/>
    </row>
    <row r="311" spans="1:11" x14ac:dyDescent="0.2">
      <c r="A311" s="21"/>
      <c r="B311" s="22"/>
      <c r="C311" s="20"/>
      <c r="D311" s="20"/>
      <c r="F311" s="20"/>
      <c r="G311" s="20"/>
      <c r="H311" s="20"/>
      <c r="I311" s="20"/>
      <c r="J311" s="20"/>
      <c r="K311" s="20"/>
    </row>
    <row r="312" spans="1:11" x14ac:dyDescent="0.2">
      <c r="A312" s="21"/>
      <c r="B312" s="22"/>
      <c r="C312" s="20"/>
      <c r="D312" s="20"/>
      <c r="F312" s="20"/>
      <c r="G312" s="20"/>
      <c r="H312" s="20"/>
      <c r="I312" s="20"/>
      <c r="J312" s="20"/>
      <c r="K312" s="20"/>
    </row>
    <row r="313" spans="1:11" x14ac:dyDescent="0.2">
      <c r="A313" s="21"/>
      <c r="B313" s="22"/>
      <c r="C313" s="20"/>
      <c r="D313" s="20"/>
      <c r="F313" s="20"/>
      <c r="G313" s="20"/>
      <c r="H313" s="20"/>
      <c r="I313" s="20"/>
      <c r="J313" s="20"/>
      <c r="K313" s="20"/>
    </row>
    <row r="314" spans="1:11" x14ac:dyDescent="0.2">
      <c r="A314" s="21"/>
      <c r="B314" s="22"/>
      <c r="C314" s="20"/>
      <c r="D314" s="20"/>
      <c r="F314" s="20"/>
      <c r="G314" s="20"/>
      <c r="H314" s="20"/>
      <c r="I314" s="20"/>
      <c r="J314" s="20"/>
      <c r="K314" s="20"/>
    </row>
    <row r="315" spans="1:11" x14ac:dyDescent="0.2">
      <c r="A315" s="21"/>
      <c r="B315" s="22"/>
      <c r="C315" s="20"/>
      <c r="D315" s="20"/>
      <c r="F315" s="20"/>
      <c r="G315" s="20"/>
      <c r="H315" s="20"/>
      <c r="I315" s="20"/>
      <c r="J315" s="20"/>
      <c r="K315" s="20"/>
    </row>
    <row r="316" spans="1:11" x14ac:dyDescent="0.2">
      <c r="A316" s="21"/>
      <c r="B316" s="22"/>
      <c r="C316" s="20"/>
      <c r="D316" s="20"/>
      <c r="F316" s="20"/>
      <c r="G316" s="20"/>
      <c r="H316" s="20"/>
      <c r="I316" s="20"/>
      <c r="J316" s="20"/>
      <c r="K316" s="20"/>
    </row>
    <row r="317" spans="1:11" x14ac:dyDescent="0.2">
      <c r="A317" s="21"/>
      <c r="B317" s="22"/>
      <c r="C317" s="20"/>
      <c r="D317" s="20"/>
      <c r="F317" s="20"/>
      <c r="G317" s="20"/>
      <c r="H317" s="20"/>
      <c r="I317" s="20"/>
      <c r="J317" s="20"/>
      <c r="K317" s="20"/>
    </row>
    <row r="318" spans="1:11" x14ac:dyDescent="0.2">
      <c r="A318" s="21"/>
      <c r="B318" s="22"/>
      <c r="C318" s="20"/>
      <c r="D318" s="20"/>
      <c r="F318" s="20"/>
      <c r="G318" s="20"/>
      <c r="H318" s="20"/>
      <c r="I318" s="20"/>
      <c r="J318" s="20"/>
      <c r="K318" s="20"/>
    </row>
    <row r="319" spans="1:11" x14ac:dyDescent="0.2">
      <c r="A319" s="21"/>
      <c r="B319" s="22"/>
      <c r="C319" s="20"/>
      <c r="D319" s="20"/>
      <c r="F319" s="20"/>
      <c r="G319" s="20"/>
      <c r="H319" s="20"/>
      <c r="I319" s="20"/>
      <c r="J319" s="20"/>
      <c r="K319" s="20"/>
    </row>
    <row r="320" spans="1:11" x14ac:dyDescent="0.2">
      <c r="A320" s="21"/>
      <c r="B320" s="22"/>
      <c r="C320" s="20"/>
      <c r="D320" s="20"/>
      <c r="F320" s="20"/>
      <c r="G320" s="20"/>
      <c r="H320" s="20"/>
      <c r="I320" s="20"/>
      <c r="J320" s="20"/>
      <c r="K320" s="20"/>
    </row>
    <row r="321" spans="1:11" x14ac:dyDescent="0.2">
      <c r="A321" s="21"/>
      <c r="B321" s="22"/>
      <c r="C321" s="20"/>
      <c r="D321" s="20"/>
      <c r="F321" s="20"/>
      <c r="G321" s="20"/>
      <c r="H321" s="20"/>
      <c r="I321" s="20"/>
      <c r="J321" s="20"/>
      <c r="K321" s="20"/>
    </row>
    <row r="322" spans="1:11" x14ac:dyDescent="0.2">
      <c r="A322" s="21"/>
      <c r="B322" s="22"/>
      <c r="C322" s="20"/>
      <c r="D322" s="20"/>
      <c r="F322" s="20"/>
      <c r="G322" s="20"/>
      <c r="H322" s="20"/>
      <c r="I322" s="20"/>
      <c r="J322" s="20"/>
      <c r="K322" s="20"/>
    </row>
    <row r="323" spans="1:11" x14ac:dyDescent="0.2">
      <c r="A323" s="21"/>
      <c r="B323" s="22"/>
      <c r="C323" s="20"/>
      <c r="D323" s="20"/>
      <c r="F323" s="20"/>
      <c r="G323" s="20"/>
      <c r="H323" s="20"/>
      <c r="I323" s="20"/>
      <c r="J323" s="20"/>
      <c r="K323" s="20"/>
    </row>
    <row r="324" spans="1:11" x14ac:dyDescent="0.2">
      <c r="A324" s="21"/>
      <c r="B324" s="22"/>
      <c r="C324" s="20"/>
      <c r="D324" s="20"/>
      <c r="F324" s="20"/>
      <c r="G324" s="20"/>
      <c r="H324" s="20"/>
      <c r="I324" s="20"/>
      <c r="J324" s="20"/>
      <c r="K324" s="20"/>
    </row>
    <row r="325" spans="1:11" x14ac:dyDescent="0.2">
      <c r="A325" s="21"/>
      <c r="B325" s="22"/>
      <c r="C325" s="20"/>
      <c r="D325" s="20"/>
      <c r="F325" s="20"/>
      <c r="G325" s="20"/>
      <c r="H325" s="20"/>
      <c r="I325" s="20"/>
      <c r="J325" s="20"/>
      <c r="K325" s="20"/>
    </row>
    <row r="326" spans="1:11" x14ac:dyDescent="0.2">
      <c r="A326" s="21"/>
      <c r="B326" s="22"/>
      <c r="C326" s="20"/>
      <c r="D326" s="20"/>
      <c r="F326" s="20"/>
      <c r="G326" s="20"/>
      <c r="H326" s="20"/>
      <c r="I326" s="20"/>
      <c r="J326" s="20"/>
      <c r="K326" s="20"/>
    </row>
    <row r="327" spans="1:11" x14ac:dyDescent="0.2">
      <c r="A327" s="21"/>
      <c r="B327" s="22"/>
      <c r="C327" s="20"/>
      <c r="D327" s="20"/>
      <c r="F327" s="20"/>
      <c r="G327" s="20"/>
      <c r="H327" s="20"/>
      <c r="I327" s="20"/>
      <c r="J327" s="20"/>
      <c r="K327" s="20"/>
    </row>
    <row r="328" spans="1:11" x14ac:dyDescent="0.2">
      <c r="A328" s="21"/>
      <c r="B328" s="22"/>
      <c r="C328" s="20"/>
      <c r="D328" s="20"/>
      <c r="F328" s="20"/>
      <c r="G328" s="20"/>
      <c r="H328" s="20"/>
      <c r="I328" s="20"/>
      <c r="J328" s="20"/>
      <c r="K328" s="20"/>
    </row>
    <row r="329" spans="1:11" x14ac:dyDescent="0.2">
      <c r="A329" s="21"/>
      <c r="B329" s="22"/>
      <c r="C329" s="20"/>
      <c r="D329" s="20"/>
      <c r="F329" s="20"/>
      <c r="G329" s="20"/>
      <c r="H329" s="20"/>
      <c r="I329" s="20"/>
      <c r="J329" s="20"/>
      <c r="K329" s="20"/>
    </row>
    <row r="330" spans="1:11" x14ac:dyDescent="0.2">
      <c r="A330" s="21"/>
      <c r="B330" s="22"/>
      <c r="C330" s="20"/>
      <c r="D330" s="20"/>
      <c r="F330" s="20"/>
      <c r="G330" s="20"/>
      <c r="H330" s="20"/>
      <c r="I330" s="20"/>
      <c r="J330" s="20"/>
      <c r="K330" s="20"/>
    </row>
    <row r="331" spans="1:11" x14ac:dyDescent="0.2">
      <c r="A331" s="21"/>
      <c r="B331" s="22"/>
      <c r="C331" s="20"/>
      <c r="D331" s="20"/>
      <c r="F331" s="20"/>
      <c r="G331" s="20"/>
      <c r="H331" s="20"/>
      <c r="I331" s="20"/>
      <c r="J331" s="20"/>
      <c r="K331" s="20"/>
    </row>
    <row r="332" spans="1:11" x14ac:dyDescent="0.2">
      <c r="A332" s="21"/>
      <c r="B332" s="22"/>
      <c r="C332" s="20"/>
      <c r="D332" s="20"/>
      <c r="F332" s="20"/>
      <c r="G332" s="20"/>
      <c r="H332" s="20"/>
      <c r="I332" s="20"/>
      <c r="J332" s="20"/>
      <c r="K332" s="20"/>
    </row>
    <row r="333" spans="1:11" x14ac:dyDescent="0.2">
      <c r="A333" s="21"/>
      <c r="B333" s="22"/>
      <c r="C333" s="20"/>
      <c r="D333" s="20"/>
      <c r="F333" s="20"/>
      <c r="G333" s="20"/>
      <c r="H333" s="20"/>
      <c r="I333" s="20"/>
      <c r="J333" s="20"/>
      <c r="K333" s="20"/>
    </row>
    <row r="334" spans="1:11" x14ac:dyDescent="0.2">
      <c r="A334" s="21"/>
      <c r="B334" s="22"/>
      <c r="C334" s="20"/>
      <c r="D334" s="20"/>
      <c r="F334" s="20"/>
      <c r="G334" s="20"/>
      <c r="H334" s="20"/>
      <c r="I334" s="20"/>
      <c r="J334" s="20"/>
      <c r="K334" s="20"/>
    </row>
    <row r="335" spans="1:11" x14ac:dyDescent="0.2">
      <c r="A335" s="21"/>
      <c r="B335" s="22"/>
      <c r="C335" s="20"/>
      <c r="D335" s="20"/>
      <c r="F335" s="20"/>
      <c r="G335" s="20"/>
      <c r="H335" s="20"/>
      <c r="I335" s="20"/>
      <c r="J335" s="20"/>
      <c r="K335" s="20"/>
    </row>
    <row r="336" spans="1:11" x14ac:dyDescent="0.2">
      <c r="A336" s="21"/>
      <c r="B336" s="22"/>
      <c r="C336" s="20"/>
      <c r="D336" s="20"/>
      <c r="F336" s="20"/>
      <c r="G336" s="20"/>
      <c r="H336" s="20"/>
      <c r="I336" s="20"/>
      <c r="J336" s="20"/>
      <c r="K336" s="20"/>
    </row>
    <row r="337" spans="1:11" x14ac:dyDescent="0.2">
      <c r="A337" s="21"/>
      <c r="B337" s="22"/>
      <c r="C337" s="20"/>
      <c r="D337" s="20"/>
      <c r="F337" s="20"/>
      <c r="G337" s="20"/>
      <c r="H337" s="20"/>
      <c r="I337" s="20"/>
      <c r="J337" s="20"/>
      <c r="K337" s="20"/>
    </row>
    <row r="338" spans="1:11" x14ac:dyDescent="0.2">
      <c r="A338" s="21"/>
      <c r="B338" s="22"/>
      <c r="C338" s="20"/>
      <c r="D338" s="20"/>
      <c r="F338" s="20"/>
      <c r="G338" s="20"/>
      <c r="H338" s="20"/>
      <c r="I338" s="20"/>
      <c r="J338" s="20"/>
      <c r="K338" s="20"/>
    </row>
    <row r="339" spans="1:11" x14ac:dyDescent="0.2">
      <c r="A339" s="21"/>
      <c r="B339" s="22"/>
      <c r="C339" s="20"/>
      <c r="D339" s="20"/>
      <c r="F339" s="20"/>
      <c r="G339" s="20"/>
      <c r="H339" s="20"/>
      <c r="I339" s="20"/>
      <c r="J339" s="20"/>
      <c r="K339" s="20"/>
    </row>
    <row r="340" spans="1:11" x14ac:dyDescent="0.2">
      <c r="A340" s="21"/>
      <c r="B340" s="22"/>
      <c r="C340" s="20"/>
      <c r="D340" s="20"/>
      <c r="F340" s="20"/>
      <c r="G340" s="20"/>
      <c r="H340" s="20"/>
      <c r="I340" s="20"/>
      <c r="J340" s="20"/>
      <c r="K340" s="20"/>
    </row>
    <row r="341" spans="1:11" x14ac:dyDescent="0.2">
      <c r="A341" s="21"/>
      <c r="B341" s="22"/>
      <c r="C341" s="20"/>
      <c r="D341" s="20"/>
      <c r="F341" s="20"/>
      <c r="G341" s="20"/>
      <c r="H341" s="20"/>
      <c r="I341" s="20"/>
      <c r="J341" s="20"/>
      <c r="K341" s="20"/>
    </row>
    <row r="342" spans="1:11" x14ac:dyDescent="0.2">
      <c r="A342" s="21"/>
      <c r="B342" s="22"/>
      <c r="C342" s="20"/>
      <c r="D342" s="20"/>
      <c r="F342" s="20"/>
      <c r="G342" s="20"/>
      <c r="H342" s="20"/>
      <c r="I342" s="20"/>
      <c r="J342" s="20"/>
      <c r="K342" s="20"/>
    </row>
    <row r="343" spans="1:11" x14ac:dyDescent="0.2">
      <c r="A343" s="21"/>
      <c r="B343" s="22"/>
      <c r="C343" s="20"/>
      <c r="D343" s="20"/>
      <c r="F343" s="20"/>
      <c r="G343" s="20"/>
      <c r="H343" s="20"/>
      <c r="I343" s="20"/>
      <c r="J343" s="20"/>
      <c r="K343" s="20"/>
    </row>
    <row r="344" spans="1:11" x14ac:dyDescent="0.2">
      <c r="A344" s="21"/>
      <c r="B344" s="22"/>
      <c r="C344" s="20"/>
      <c r="D344" s="20"/>
      <c r="F344" s="20"/>
      <c r="G344" s="20"/>
      <c r="H344" s="20"/>
      <c r="I344" s="20"/>
      <c r="J344" s="20"/>
      <c r="K344" s="20"/>
    </row>
    <row r="345" spans="1:11" x14ac:dyDescent="0.2">
      <c r="A345" s="21"/>
      <c r="B345" s="22"/>
      <c r="C345" s="20"/>
      <c r="D345" s="20"/>
      <c r="F345" s="20"/>
      <c r="G345" s="20"/>
      <c r="H345" s="20"/>
      <c r="I345" s="20"/>
      <c r="J345" s="20"/>
      <c r="K345" s="20"/>
    </row>
    <row r="346" spans="1:11" x14ac:dyDescent="0.2">
      <c r="A346" s="21"/>
      <c r="B346" s="22"/>
      <c r="C346" s="20"/>
      <c r="D346" s="20"/>
      <c r="F346" s="20"/>
      <c r="G346" s="20"/>
      <c r="H346" s="20"/>
      <c r="I346" s="20"/>
      <c r="J346" s="20"/>
      <c r="K346" s="20"/>
    </row>
    <row r="347" spans="1:11" x14ac:dyDescent="0.2">
      <c r="A347" s="21"/>
      <c r="B347" s="22"/>
      <c r="C347" s="20"/>
      <c r="D347" s="20"/>
      <c r="F347" s="20"/>
      <c r="G347" s="20"/>
      <c r="H347" s="20"/>
      <c r="I347" s="20"/>
      <c r="J347" s="20"/>
      <c r="K347" s="20"/>
    </row>
    <row r="348" spans="1:11" x14ac:dyDescent="0.2">
      <c r="A348" s="21"/>
      <c r="B348" s="22"/>
      <c r="C348" s="20"/>
      <c r="D348" s="20"/>
      <c r="F348" s="20"/>
      <c r="G348" s="20"/>
      <c r="H348" s="20"/>
      <c r="I348" s="20"/>
      <c r="J348" s="20"/>
      <c r="K348" s="20"/>
    </row>
    <row r="349" spans="1:11" x14ac:dyDescent="0.2">
      <c r="A349" s="21"/>
      <c r="B349" s="22"/>
      <c r="C349" s="20"/>
      <c r="D349" s="20"/>
      <c r="F349" s="20"/>
      <c r="G349" s="20"/>
      <c r="H349" s="20"/>
      <c r="I349" s="20"/>
      <c r="J349" s="20"/>
      <c r="K349" s="20"/>
    </row>
    <row r="350" spans="1:11" x14ac:dyDescent="0.2">
      <c r="A350" s="21"/>
      <c r="B350" s="22"/>
      <c r="C350" s="20"/>
      <c r="D350" s="20"/>
      <c r="F350" s="20"/>
      <c r="G350" s="20"/>
      <c r="H350" s="20"/>
      <c r="I350" s="20"/>
      <c r="J350" s="20"/>
      <c r="K350" s="20"/>
    </row>
    <row r="351" spans="1:11" x14ac:dyDescent="0.2">
      <c r="A351" s="21"/>
      <c r="B351" s="22"/>
      <c r="C351" s="20"/>
      <c r="D351" s="20"/>
      <c r="F351" s="20"/>
      <c r="G351" s="20"/>
      <c r="H351" s="20"/>
      <c r="I351" s="20"/>
      <c r="J351" s="20"/>
      <c r="K351" s="20"/>
    </row>
    <row r="352" spans="1:11" x14ac:dyDescent="0.2">
      <c r="A352" s="21"/>
      <c r="B352" s="22"/>
      <c r="C352" s="20"/>
      <c r="D352" s="20"/>
      <c r="F352" s="20"/>
      <c r="G352" s="20"/>
      <c r="H352" s="20"/>
      <c r="I352" s="20"/>
      <c r="J352" s="20"/>
      <c r="K352" s="20"/>
    </row>
    <row r="353" spans="1:11" x14ac:dyDescent="0.2">
      <c r="A353" s="21"/>
      <c r="B353" s="22"/>
      <c r="C353" s="20"/>
      <c r="D353" s="20"/>
      <c r="F353" s="20"/>
      <c r="G353" s="20"/>
      <c r="H353" s="20"/>
      <c r="I353" s="20"/>
      <c r="J353" s="20"/>
      <c r="K353" s="20"/>
    </row>
    <row r="354" spans="1:11" x14ac:dyDescent="0.2">
      <c r="A354" s="21"/>
      <c r="B354" s="22"/>
      <c r="C354" s="20"/>
      <c r="D354" s="20"/>
      <c r="F354" s="20"/>
      <c r="G354" s="20"/>
      <c r="H354" s="20"/>
      <c r="I354" s="20"/>
      <c r="J354" s="20"/>
      <c r="K354" s="20"/>
    </row>
    <row r="355" spans="1:11" x14ac:dyDescent="0.2">
      <c r="A355" s="21"/>
      <c r="B355" s="22"/>
      <c r="C355" s="20"/>
      <c r="D355" s="20"/>
      <c r="F355" s="20"/>
      <c r="G355" s="20"/>
      <c r="H355" s="20"/>
      <c r="I355" s="20"/>
      <c r="J355" s="20"/>
      <c r="K355" s="20"/>
    </row>
    <row r="356" spans="1:11" x14ac:dyDescent="0.2">
      <c r="A356" s="21"/>
      <c r="B356" s="22"/>
      <c r="C356" s="20"/>
      <c r="D356" s="20"/>
      <c r="F356" s="20"/>
      <c r="G356" s="20"/>
      <c r="H356" s="20"/>
      <c r="I356" s="20"/>
      <c r="J356" s="20"/>
      <c r="K356" s="20"/>
    </row>
    <row r="357" spans="1:11" x14ac:dyDescent="0.2">
      <c r="A357" s="21"/>
      <c r="B357" s="22"/>
      <c r="C357" s="20"/>
      <c r="D357" s="20"/>
      <c r="F357" s="20"/>
      <c r="G357" s="20"/>
      <c r="H357" s="20"/>
      <c r="I357" s="20"/>
      <c r="J357" s="20"/>
      <c r="K357" s="20"/>
    </row>
    <row r="358" spans="1:11" x14ac:dyDescent="0.2">
      <c r="A358" s="21"/>
      <c r="B358" s="22"/>
      <c r="C358" s="20"/>
      <c r="D358" s="20"/>
      <c r="F358" s="20"/>
      <c r="G358" s="20"/>
      <c r="H358" s="20"/>
      <c r="I358" s="20"/>
      <c r="J358" s="20"/>
      <c r="K358" s="20"/>
    </row>
    <row r="359" spans="1:11" x14ac:dyDescent="0.2">
      <c r="A359" s="21"/>
      <c r="B359" s="22"/>
      <c r="C359" s="20"/>
      <c r="D359" s="20"/>
      <c r="F359" s="20"/>
      <c r="G359" s="20"/>
      <c r="H359" s="20"/>
      <c r="I359" s="20"/>
      <c r="J359" s="20"/>
      <c r="K359" s="20"/>
    </row>
    <row r="360" spans="1:11" x14ac:dyDescent="0.2">
      <c r="A360" s="21"/>
      <c r="B360" s="22"/>
      <c r="C360" s="20"/>
      <c r="D360" s="20"/>
      <c r="F360" s="20"/>
      <c r="G360" s="20"/>
      <c r="H360" s="20"/>
      <c r="I360" s="20"/>
      <c r="J360" s="20"/>
      <c r="K360" s="20"/>
    </row>
    <row r="361" spans="1:11" x14ac:dyDescent="0.2">
      <c r="A361" s="21"/>
      <c r="B361" s="22"/>
      <c r="C361" s="20"/>
      <c r="D361" s="20"/>
      <c r="F361" s="20"/>
      <c r="G361" s="20"/>
      <c r="H361" s="20"/>
      <c r="I361" s="20"/>
      <c r="J361" s="20"/>
      <c r="K361" s="20"/>
    </row>
    <row r="362" spans="1:11" x14ac:dyDescent="0.2">
      <c r="A362" s="21"/>
      <c r="B362" s="22"/>
      <c r="C362" s="20"/>
      <c r="D362" s="20"/>
      <c r="F362" s="20"/>
      <c r="G362" s="20"/>
      <c r="H362" s="20"/>
      <c r="I362" s="20"/>
      <c r="J362" s="20"/>
      <c r="K362" s="20"/>
    </row>
    <row r="363" spans="1:11" x14ac:dyDescent="0.2">
      <c r="A363" s="21"/>
      <c r="B363" s="22"/>
      <c r="C363" s="20"/>
      <c r="D363" s="20"/>
      <c r="F363" s="20"/>
      <c r="G363" s="20"/>
      <c r="H363" s="20"/>
      <c r="I363" s="20"/>
      <c r="J363" s="20"/>
      <c r="K363" s="20"/>
    </row>
    <row r="364" spans="1:11" x14ac:dyDescent="0.2">
      <c r="A364" s="21"/>
      <c r="B364" s="22"/>
      <c r="C364" s="20"/>
      <c r="D364" s="20"/>
      <c r="F364" s="20"/>
      <c r="G364" s="20"/>
      <c r="H364" s="20"/>
      <c r="I364" s="20"/>
      <c r="J364" s="20"/>
      <c r="K364" s="20"/>
    </row>
    <row r="365" spans="1:11" x14ac:dyDescent="0.2">
      <c r="A365" s="21"/>
      <c r="B365" s="22"/>
      <c r="C365" s="20"/>
      <c r="D365" s="20"/>
      <c r="F365" s="20"/>
      <c r="G365" s="20"/>
      <c r="H365" s="20"/>
      <c r="I365" s="20"/>
      <c r="J365" s="20"/>
      <c r="K365" s="20"/>
    </row>
    <row r="366" spans="1:11" x14ac:dyDescent="0.2">
      <c r="A366" s="21"/>
      <c r="B366" s="22"/>
      <c r="C366" s="20"/>
      <c r="D366" s="20"/>
      <c r="F366" s="20"/>
      <c r="G366" s="20"/>
      <c r="H366" s="20"/>
      <c r="I366" s="20"/>
      <c r="J366" s="20"/>
      <c r="K366" s="20"/>
    </row>
    <row r="367" spans="1:11" x14ac:dyDescent="0.2">
      <c r="A367" s="21"/>
      <c r="B367" s="22"/>
      <c r="C367" s="20"/>
      <c r="D367" s="20"/>
      <c r="F367" s="20"/>
      <c r="G367" s="20"/>
      <c r="H367" s="20"/>
      <c r="I367" s="20"/>
      <c r="J367" s="20"/>
      <c r="K367" s="20"/>
    </row>
    <row r="368" spans="1:11" x14ac:dyDescent="0.2">
      <c r="A368" s="21"/>
      <c r="B368" s="22"/>
      <c r="C368" s="20"/>
      <c r="D368" s="20"/>
      <c r="F368" s="20"/>
      <c r="G368" s="20"/>
      <c r="H368" s="20"/>
      <c r="I368" s="20"/>
      <c r="J368" s="20"/>
      <c r="K368" s="20"/>
    </row>
    <row r="369" spans="1:11" x14ac:dyDescent="0.2">
      <c r="A369" s="21"/>
      <c r="B369" s="22"/>
      <c r="C369" s="20"/>
      <c r="D369" s="20"/>
      <c r="F369" s="20"/>
      <c r="G369" s="20"/>
      <c r="H369" s="20"/>
      <c r="I369" s="20"/>
      <c r="J369" s="20"/>
      <c r="K369" s="20"/>
    </row>
    <row r="370" spans="1:11" x14ac:dyDescent="0.2">
      <c r="A370" s="21"/>
      <c r="B370" s="22"/>
      <c r="C370" s="20"/>
      <c r="D370" s="20"/>
      <c r="F370" s="20"/>
      <c r="G370" s="20"/>
      <c r="H370" s="20"/>
      <c r="I370" s="20"/>
      <c r="J370" s="20"/>
      <c r="K370" s="20"/>
    </row>
    <row r="371" spans="1:11" x14ac:dyDescent="0.2">
      <c r="A371" s="21"/>
      <c r="B371" s="22"/>
      <c r="C371" s="20"/>
      <c r="D371" s="20"/>
      <c r="F371" s="20"/>
      <c r="G371" s="20"/>
      <c r="H371" s="20"/>
      <c r="I371" s="20"/>
      <c r="J371" s="20"/>
      <c r="K371" s="20"/>
    </row>
    <row r="372" spans="1:11" x14ac:dyDescent="0.2">
      <c r="A372" s="21"/>
      <c r="B372" s="22"/>
      <c r="C372" s="20"/>
      <c r="D372" s="20"/>
      <c r="F372" s="20"/>
      <c r="G372" s="20"/>
      <c r="H372" s="20"/>
      <c r="I372" s="20"/>
      <c r="J372" s="20"/>
      <c r="K372" s="20"/>
    </row>
    <row r="373" spans="1:11" x14ac:dyDescent="0.2">
      <c r="A373" s="21"/>
      <c r="B373" s="22"/>
      <c r="C373" s="20"/>
      <c r="D373" s="20"/>
      <c r="F373" s="20"/>
      <c r="G373" s="20"/>
      <c r="H373" s="20"/>
      <c r="I373" s="20"/>
      <c r="J373" s="20"/>
      <c r="K373" s="20"/>
    </row>
    <row r="374" spans="1:11" x14ac:dyDescent="0.2">
      <c r="A374" s="21"/>
      <c r="B374" s="22"/>
      <c r="C374" s="20"/>
      <c r="D374" s="20"/>
      <c r="F374" s="20"/>
      <c r="G374" s="20"/>
      <c r="H374" s="20"/>
      <c r="I374" s="20"/>
      <c r="J374" s="20"/>
      <c r="K374" s="20"/>
    </row>
    <row r="375" spans="1:11" x14ac:dyDescent="0.2">
      <c r="A375" s="21"/>
      <c r="B375" s="22"/>
      <c r="C375" s="20"/>
      <c r="D375" s="20"/>
      <c r="F375" s="20"/>
      <c r="G375" s="20"/>
      <c r="H375" s="20"/>
      <c r="I375" s="20"/>
      <c r="J375" s="20"/>
      <c r="K375" s="20"/>
    </row>
    <row r="376" spans="1:11" x14ac:dyDescent="0.2">
      <c r="A376" s="21"/>
      <c r="B376" s="22"/>
      <c r="C376" s="20"/>
      <c r="D376" s="20"/>
      <c r="F376" s="20"/>
      <c r="G376" s="20"/>
      <c r="H376" s="20"/>
      <c r="I376" s="20"/>
      <c r="J376" s="20"/>
      <c r="K376" s="20"/>
    </row>
    <row r="377" spans="1:11" x14ac:dyDescent="0.2">
      <c r="A377" s="21"/>
      <c r="B377" s="22"/>
      <c r="C377" s="20"/>
      <c r="D377" s="20"/>
      <c r="F377" s="20"/>
      <c r="G377" s="20"/>
      <c r="H377" s="20"/>
      <c r="I377" s="20"/>
      <c r="J377" s="20"/>
      <c r="K377" s="20"/>
    </row>
    <row r="378" spans="1:11" x14ac:dyDescent="0.2">
      <c r="A378" s="21"/>
      <c r="B378" s="22"/>
      <c r="C378" s="20"/>
      <c r="D378" s="20"/>
      <c r="F378" s="20"/>
      <c r="G378" s="20"/>
      <c r="H378" s="20"/>
      <c r="I378" s="20"/>
      <c r="J378" s="20"/>
      <c r="K378" s="20"/>
    </row>
    <row r="379" spans="1:11" x14ac:dyDescent="0.2">
      <c r="A379" s="21"/>
      <c r="B379" s="22"/>
      <c r="C379" s="20"/>
      <c r="D379" s="20"/>
      <c r="F379" s="20"/>
      <c r="G379" s="20"/>
      <c r="H379" s="20"/>
      <c r="I379" s="20"/>
      <c r="J379" s="20"/>
      <c r="K379" s="20"/>
    </row>
    <row r="380" spans="1:11" x14ac:dyDescent="0.2">
      <c r="A380" s="21"/>
      <c r="B380" s="22"/>
      <c r="C380" s="20"/>
      <c r="D380" s="20"/>
      <c r="F380" s="20"/>
      <c r="G380" s="20"/>
      <c r="H380" s="20"/>
      <c r="I380" s="20"/>
      <c r="J380" s="20"/>
      <c r="K380" s="20"/>
    </row>
    <row r="381" spans="1:11" x14ac:dyDescent="0.2">
      <c r="A381" s="21"/>
      <c r="B381" s="22"/>
      <c r="C381" s="20"/>
      <c r="D381" s="20"/>
      <c r="F381" s="20"/>
      <c r="G381" s="20"/>
      <c r="H381" s="20"/>
      <c r="I381" s="20"/>
      <c r="J381" s="20"/>
      <c r="K381" s="20"/>
    </row>
    <row r="382" spans="1:11" x14ac:dyDescent="0.2">
      <c r="A382" s="21"/>
      <c r="B382" s="22"/>
      <c r="C382" s="20"/>
      <c r="D382" s="20"/>
      <c r="F382" s="20"/>
      <c r="G382" s="20"/>
      <c r="H382" s="20"/>
      <c r="I382" s="20"/>
      <c r="J382" s="20"/>
      <c r="K382" s="20"/>
    </row>
    <row r="383" spans="1:11" x14ac:dyDescent="0.2">
      <c r="A383" s="21"/>
      <c r="B383" s="22"/>
      <c r="C383" s="20"/>
      <c r="D383" s="20"/>
      <c r="F383" s="20"/>
      <c r="G383" s="20"/>
      <c r="H383" s="20"/>
      <c r="I383" s="20"/>
      <c r="J383" s="20"/>
      <c r="K383" s="20"/>
    </row>
    <row r="384" spans="1:11" x14ac:dyDescent="0.2">
      <c r="A384" s="21"/>
      <c r="B384" s="22"/>
      <c r="C384" s="20"/>
      <c r="D384" s="20"/>
      <c r="F384" s="20"/>
      <c r="G384" s="20"/>
      <c r="H384" s="20"/>
      <c r="I384" s="20"/>
      <c r="J384" s="20"/>
      <c r="K384" s="20"/>
    </row>
    <row r="385" spans="1:11" x14ac:dyDescent="0.2">
      <c r="A385" s="21"/>
      <c r="B385" s="22"/>
      <c r="C385" s="20"/>
      <c r="D385" s="20"/>
      <c r="F385" s="20"/>
      <c r="G385" s="20"/>
      <c r="H385" s="20"/>
      <c r="I385" s="20"/>
      <c r="J385" s="20"/>
      <c r="K385" s="20"/>
    </row>
    <row r="386" spans="1:11" x14ac:dyDescent="0.2">
      <c r="A386" s="21"/>
      <c r="B386" s="22"/>
      <c r="C386" s="20"/>
      <c r="D386" s="20"/>
      <c r="F386" s="20"/>
      <c r="G386" s="20"/>
      <c r="H386" s="20"/>
      <c r="I386" s="20"/>
      <c r="J386" s="20"/>
      <c r="K386" s="20"/>
    </row>
    <row r="387" spans="1:11" x14ac:dyDescent="0.2">
      <c r="A387" s="21"/>
      <c r="B387" s="22"/>
      <c r="C387" s="20"/>
      <c r="D387" s="20"/>
      <c r="F387" s="20"/>
      <c r="G387" s="20"/>
      <c r="H387" s="20"/>
      <c r="I387" s="20"/>
      <c r="J387" s="20"/>
      <c r="K387" s="20"/>
    </row>
    <row r="388" spans="1:11" x14ac:dyDescent="0.2">
      <c r="A388" s="21"/>
      <c r="B388" s="22"/>
      <c r="C388" s="20"/>
      <c r="D388" s="20"/>
      <c r="F388" s="20"/>
      <c r="G388" s="20"/>
      <c r="H388" s="20"/>
      <c r="I388" s="20"/>
      <c r="J388" s="20"/>
      <c r="K388" s="20"/>
    </row>
    <row r="389" spans="1:11" x14ac:dyDescent="0.2">
      <c r="A389" s="21"/>
      <c r="B389" s="22"/>
      <c r="C389" s="20"/>
      <c r="D389" s="20"/>
      <c r="F389" s="20"/>
      <c r="G389" s="20"/>
      <c r="H389" s="20"/>
      <c r="I389" s="20"/>
      <c r="J389" s="20"/>
      <c r="K389" s="20"/>
    </row>
    <row r="390" spans="1:11" x14ac:dyDescent="0.2">
      <c r="A390" s="21"/>
      <c r="B390" s="22"/>
      <c r="C390" s="20"/>
      <c r="D390" s="20"/>
      <c r="F390" s="20"/>
      <c r="G390" s="20"/>
      <c r="H390" s="20"/>
      <c r="I390" s="20"/>
      <c r="J390" s="20"/>
      <c r="K390" s="20"/>
    </row>
    <row r="391" spans="1:11" x14ac:dyDescent="0.2">
      <c r="A391" s="21"/>
      <c r="B391" s="22"/>
      <c r="C391" s="20"/>
      <c r="D391" s="20"/>
      <c r="F391" s="20"/>
      <c r="G391" s="20"/>
      <c r="H391" s="20"/>
      <c r="I391" s="20"/>
      <c r="J391" s="20"/>
      <c r="K391" s="20"/>
    </row>
    <row r="392" spans="1:11" x14ac:dyDescent="0.2">
      <c r="A392" s="21"/>
      <c r="B392" s="22"/>
      <c r="C392" s="20"/>
      <c r="D392" s="20"/>
      <c r="F392" s="20"/>
      <c r="G392" s="20"/>
      <c r="H392" s="20"/>
      <c r="I392" s="20"/>
      <c r="J392" s="20"/>
      <c r="K392" s="20"/>
    </row>
    <row r="393" spans="1:11" x14ac:dyDescent="0.2">
      <c r="A393" s="21"/>
      <c r="B393" s="22"/>
      <c r="C393" s="20"/>
      <c r="D393" s="20"/>
      <c r="F393" s="20"/>
      <c r="G393" s="20"/>
      <c r="H393" s="20"/>
      <c r="I393" s="20"/>
      <c r="J393" s="20"/>
      <c r="K393" s="20"/>
    </row>
    <row r="394" spans="1:11" x14ac:dyDescent="0.2">
      <c r="A394" s="21"/>
      <c r="B394" s="22"/>
      <c r="C394" s="20"/>
      <c r="D394" s="20"/>
      <c r="F394" s="20"/>
      <c r="G394" s="20"/>
      <c r="H394" s="20"/>
      <c r="I394" s="20"/>
      <c r="J394" s="20"/>
      <c r="K394" s="20"/>
    </row>
    <row r="395" spans="1:11" x14ac:dyDescent="0.2">
      <c r="A395" s="21"/>
      <c r="B395" s="22"/>
      <c r="C395" s="20"/>
      <c r="D395" s="20"/>
      <c r="F395" s="20"/>
      <c r="G395" s="20"/>
      <c r="H395" s="20"/>
      <c r="I395" s="20"/>
      <c r="J395" s="20"/>
      <c r="K395" s="20"/>
    </row>
    <row r="396" spans="1:11" x14ac:dyDescent="0.2">
      <c r="A396" s="21"/>
      <c r="B396" s="22"/>
      <c r="C396" s="20"/>
      <c r="D396" s="20"/>
      <c r="F396" s="20"/>
      <c r="G396" s="20"/>
      <c r="H396" s="20"/>
      <c r="I396" s="20"/>
      <c r="J396" s="20"/>
      <c r="K396" s="20"/>
    </row>
    <row r="397" spans="1:11" x14ac:dyDescent="0.2">
      <c r="A397" s="21"/>
      <c r="B397" s="22"/>
      <c r="C397" s="20"/>
      <c r="D397" s="20"/>
      <c r="F397" s="20"/>
      <c r="G397" s="20"/>
      <c r="H397" s="20"/>
      <c r="I397" s="20"/>
      <c r="J397" s="20"/>
      <c r="K397" s="20"/>
    </row>
    <row r="398" spans="1:11" x14ac:dyDescent="0.2">
      <c r="A398" s="21"/>
      <c r="B398" s="22"/>
      <c r="C398" s="20"/>
      <c r="D398" s="20"/>
      <c r="F398" s="20"/>
      <c r="G398" s="20"/>
      <c r="H398" s="20"/>
      <c r="I398" s="20"/>
      <c r="J398" s="20"/>
      <c r="K398" s="20"/>
    </row>
    <row r="399" spans="1:11" x14ac:dyDescent="0.2">
      <c r="A399" s="21"/>
      <c r="B399" s="22"/>
      <c r="C399" s="20"/>
      <c r="D399" s="20"/>
      <c r="F399" s="20"/>
      <c r="G399" s="20"/>
      <c r="H399" s="20"/>
      <c r="I399" s="20"/>
      <c r="J399" s="20"/>
      <c r="K399" s="20"/>
    </row>
    <row r="400" spans="1:11" x14ac:dyDescent="0.2">
      <c r="A400" s="21"/>
      <c r="B400" s="22"/>
      <c r="C400" s="20"/>
      <c r="D400" s="20"/>
      <c r="F400" s="20"/>
      <c r="G400" s="20"/>
      <c r="H400" s="20"/>
      <c r="I400" s="20"/>
      <c r="J400" s="20"/>
      <c r="K400" s="20"/>
    </row>
    <row r="401" spans="1:11" x14ac:dyDescent="0.2">
      <c r="A401" s="21"/>
      <c r="B401" s="22"/>
      <c r="C401" s="20"/>
      <c r="D401" s="20"/>
      <c r="F401" s="20"/>
      <c r="G401" s="20"/>
      <c r="H401" s="20"/>
      <c r="I401" s="20"/>
      <c r="J401" s="20"/>
      <c r="K401" s="20"/>
    </row>
    <row r="402" spans="1:11" x14ac:dyDescent="0.2">
      <c r="A402" s="21"/>
      <c r="B402" s="22"/>
      <c r="C402" s="20"/>
      <c r="D402" s="20"/>
      <c r="F402" s="20"/>
      <c r="G402" s="20"/>
      <c r="H402" s="20"/>
      <c r="I402" s="20"/>
      <c r="J402" s="20"/>
      <c r="K402" s="20"/>
    </row>
    <row r="403" spans="1:11" x14ac:dyDescent="0.2">
      <c r="A403" s="21"/>
      <c r="B403" s="22"/>
      <c r="C403" s="20"/>
      <c r="D403" s="20"/>
      <c r="F403" s="20"/>
      <c r="G403" s="20"/>
      <c r="H403" s="20"/>
      <c r="I403" s="20"/>
      <c r="J403" s="20"/>
      <c r="K403" s="20"/>
    </row>
    <row r="404" spans="1:11" x14ac:dyDescent="0.2">
      <c r="A404" s="21"/>
      <c r="B404" s="22"/>
      <c r="C404" s="20"/>
      <c r="D404" s="20"/>
      <c r="F404" s="20"/>
      <c r="G404" s="20"/>
      <c r="H404" s="20"/>
      <c r="I404" s="20"/>
      <c r="J404" s="20"/>
      <c r="K404" s="20"/>
    </row>
    <row r="405" spans="1:11" x14ac:dyDescent="0.2">
      <c r="A405" s="21"/>
      <c r="B405" s="22"/>
      <c r="C405" s="20"/>
      <c r="D405" s="20"/>
      <c r="F405" s="20"/>
      <c r="G405" s="20"/>
      <c r="H405" s="20"/>
      <c r="I405" s="20"/>
      <c r="J405" s="20"/>
      <c r="K405" s="20"/>
    </row>
    <row r="406" spans="1:11" x14ac:dyDescent="0.2">
      <c r="A406" s="21"/>
      <c r="B406" s="22"/>
      <c r="C406" s="20"/>
      <c r="D406" s="20"/>
      <c r="F406" s="20"/>
      <c r="G406" s="20"/>
      <c r="H406" s="20"/>
      <c r="I406" s="20"/>
      <c r="J406" s="20"/>
      <c r="K406" s="20"/>
    </row>
    <row r="407" spans="1:11" x14ac:dyDescent="0.2">
      <c r="A407" s="21"/>
      <c r="B407" s="22"/>
      <c r="C407" s="20"/>
      <c r="D407" s="20"/>
      <c r="F407" s="20"/>
      <c r="G407" s="20"/>
      <c r="H407" s="20"/>
      <c r="I407" s="20"/>
      <c r="J407" s="20"/>
      <c r="K407" s="20"/>
    </row>
    <row r="408" spans="1:11" x14ac:dyDescent="0.2">
      <c r="A408" s="21"/>
      <c r="B408" s="22"/>
      <c r="C408" s="20"/>
      <c r="D408" s="20"/>
      <c r="F408" s="20"/>
      <c r="G408" s="20"/>
      <c r="H408" s="20"/>
      <c r="I408" s="20"/>
      <c r="J408" s="20"/>
      <c r="K408" s="20"/>
    </row>
    <row r="409" spans="1:11" x14ac:dyDescent="0.2">
      <c r="A409" s="21"/>
      <c r="B409" s="22"/>
      <c r="C409" s="20"/>
      <c r="D409" s="20"/>
      <c r="F409" s="20"/>
      <c r="G409" s="20"/>
      <c r="H409" s="20"/>
      <c r="I409" s="20"/>
      <c r="J409" s="20"/>
      <c r="K409" s="20"/>
    </row>
    <row r="410" spans="1:11" x14ac:dyDescent="0.2">
      <c r="A410" s="21"/>
      <c r="B410" s="22"/>
      <c r="C410" s="20"/>
      <c r="D410" s="20"/>
      <c r="F410" s="20"/>
      <c r="G410" s="20"/>
      <c r="H410" s="20"/>
      <c r="I410" s="20"/>
      <c r="J410" s="20"/>
      <c r="K410" s="20"/>
    </row>
    <row r="411" spans="1:11" x14ac:dyDescent="0.2">
      <c r="A411" s="21"/>
      <c r="B411" s="22"/>
      <c r="C411" s="20"/>
      <c r="D411" s="20"/>
      <c r="F411" s="20"/>
      <c r="G411" s="20"/>
      <c r="H411" s="20"/>
      <c r="I411" s="20"/>
      <c r="J411" s="20"/>
      <c r="K411" s="20"/>
    </row>
    <row r="412" spans="1:11" x14ac:dyDescent="0.2">
      <c r="A412" s="21"/>
      <c r="B412" s="22"/>
      <c r="C412" s="20"/>
      <c r="D412" s="20"/>
      <c r="F412" s="20"/>
      <c r="G412" s="20"/>
      <c r="H412" s="20"/>
      <c r="I412" s="20"/>
      <c r="J412" s="20"/>
      <c r="K412" s="20"/>
    </row>
    <row r="413" spans="1:11" x14ac:dyDescent="0.2">
      <c r="A413" s="21"/>
      <c r="B413" s="22"/>
      <c r="C413" s="20"/>
      <c r="D413" s="20"/>
      <c r="F413" s="20"/>
      <c r="G413" s="20"/>
      <c r="H413" s="20"/>
      <c r="I413" s="20"/>
      <c r="J413" s="20"/>
      <c r="K413" s="20"/>
    </row>
    <row r="414" spans="1:11" x14ac:dyDescent="0.2">
      <c r="A414" s="21"/>
      <c r="B414" s="22"/>
      <c r="C414" s="20"/>
      <c r="D414" s="20"/>
      <c r="F414" s="20"/>
      <c r="G414" s="20"/>
      <c r="H414" s="20"/>
      <c r="I414" s="20"/>
      <c r="J414" s="20"/>
      <c r="K414" s="20"/>
    </row>
    <row r="415" spans="1:11" x14ac:dyDescent="0.2">
      <c r="A415" s="21"/>
      <c r="B415" s="22"/>
      <c r="C415" s="20"/>
      <c r="D415" s="20"/>
      <c r="F415" s="20"/>
      <c r="G415" s="20"/>
      <c r="H415" s="20"/>
      <c r="I415" s="20"/>
      <c r="J415" s="20"/>
      <c r="K415" s="20"/>
    </row>
    <row r="416" spans="1:11" x14ac:dyDescent="0.2">
      <c r="A416" s="21"/>
      <c r="B416" s="22"/>
      <c r="C416" s="20"/>
      <c r="D416" s="20"/>
      <c r="F416" s="20"/>
      <c r="G416" s="20"/>
      <c r="H416" s="20"/>
      <c r="I416" s="20"/>
      <c r="J416" s="20"/>
      <c r="K416" s="20"/>
    </row>
    <row r="417" spans="1:11" x14ac:dyDescent="0.2">
      <c r="A417" s="21"/>
      <c r="B417" s="22"/>
      <c r="C417" s="20"/>
      <c r="D417" s="20"/>
      <c r="F417" s="20"/>
      <c r="G417" s="20"/>
      <c r="H417" s="20"/>
      <c r="I417" s="20"/>
      <c r="J417" s="20"/>
      <c r="K417" s="20"/>
    </row>
    <row r="418" spans="1:11" x14ac:dyDescent="0.2">
      <c r="A418" s="21"/>
      <c r="B418" s="22"/>
      <c r="C418" s="20"/>
      <c r="D418" s="20"/>
      <c r="F418" s="20"/>
      <c r="G418" s="20"/>
      <c r="H418" s="20"/>
      <c r="I418" s="20"/>
      <c r="J418" s="20"/>
      <c r="K418" s="20"/>
    </row>
    <row r="419" spans="1:11" x14ac:dyDescent="0.2">
      <c r="A419" s="21"/>
      <c r="B419" s="22"/>
      <c r="C419" s="20"/>
      <c r="D419" s="20"/>
      <c r="F419" s="20"/>
      <c r="G419" s="20"/>
      <c r="H419" s="20"/>
      <c r="I419" s="20"/>
      <c r="J419" s="20"/>
      <c r="K419" s="20"/>
    </row>
    <row r="420" spans="1:11" x14ac:dyDescent="0.2">
      <c r="A420" s="21"/>
      <c r="B420" s="22"/>
      <c r="C420" s="20"/>
      <c r="D420" s="20"/>
      <c r="F420" s="20"/>
      <c r="G420" s="20"/>
      <c r="H420" s="20"/>
      <c r="I420" s="20"/>
      <c r="J420" s="20"/>
      <c r="K420" s="20"/>
    </row>
    <row r="421" spans="1:11" x14ac:dyDescent="0.2">
      <c r="A421" s="21"/>
      <c r="B421" s="22"/>
      <c r="C421" s="20"/>
      <c r="D421" s="20"/>
      <c r="F421" s="20"/>
      <c r="G421" s="20"/>
      <c r="H421" s="20"/>
      <c r="I421" s="20"/>
      <c r="J421" s="20"/>
      <c r="K421" s="20"/>
    </row>
    <row r="422" spans="1:11" x14ac:dyDescent="0.2">
      <c r="A422" s="21"/>
      <c r="B422" s="22"/>
      <c r="C422" s="20"/>
      <c r="D422" s="20"/>
      <c r="F422" s="20"/>
      <c r="G422" s="20"/>
      <c r="H422" s="20"/>
      <c r="I422" s="20"/>
      <c r="J422" s="20"/>
      <c r="K422" s="20"/>
    </row>
    <row r="423" spans="1:11" x14ac:dyDescent="0.2">
      <c r="A423" s="21"/>
      <c r="B423" s="22"/>
      <c r="C423" s="20"/>
      <c r="D423" s="20"/>
      <c r="F423" s="20"/>
      <c r="G423" s="20"/>
      <c r="H423" s="20"/>
      <c r="I423" s="20"/>
      <c r="J423" s="20"/>
      <c r="K423" s="20"/>
    </row>
    <row r="424" spans="1:11" x14ac:dyDescent="0.2">
      <c r="A424" s="21"/>
      <c r="B424" s="22"/>
      <c r="C424" s="20"/>
      <c r="D424" s="20"/>
      <c r="F424" s="20"/>
      <c r="G424" s="20"/>
      <c r="H424" s="20"/>
      <c r="I424" s="20"/>
      <c r="J424" s="20"/>
      <c r="K424" s="20"/>
    </row>
    <row r="425" spans="1:11" x14ac:dyDescent="0.2">
      <c r="A425" s="21"/>
      <c r="B425" s="22"/>
      <c r="C425" s="20"/>
      <c r="D425" s="20"/>
      <c r="F425" s="20"/>
      <c r="G425" s="20"/>
      <c r="H425" s="20"/>
      <c r="I425" s="20"/>
      <c r="J425" s="20"/>
      <c r="K425" s="20"/>
    </row>
    <row r="426" spans="1:11" x14ac:dyDescent="0.2">
      <c r="A426" s="21"/>
      <c r="B426" s="22"/>
      <c r="C426" s="20"/>
      <c r="D426" s="20"/>
      <c r="F426" s="20"/>
      <c r="G426" s="20"/>
      <c r="H426" s="20"/>
      <c r="I426" s="20"/>
      <c r="J426" s="20"/>
      <c r="K426" s="20"/>
    </row>
    <row r="427" spans="1:11" x14ac:dyDescent="0.2">
      <c r="A427" s="21"/>
      <c r="B427" s="22"/>
      <c r="C427" s="20"/>
      <c r="D427" s="20"/>
      <c r="F427" s="20"/>
      <c r="G427" s="20"/>
      <c r="H427" s="20"/>
      <c r="I427" s="20"/>
      <c r="J427" s="20"/>
      <c r="K427" s="20"/>
    </row>
    <row r="428" spans="1:11" x14ac:dyDescent="0.2">
      <c r="A428" s="21"/>
      <c r="B428" s="22"/>
      <c r="C428" s="20"/>
      <c r="D428" s="20"/>
      <c r="F428" s="20"/>
      <c r="G428" s="20"/>
      <c r="H428" s="20"/>
      <c r="I428" s="20"/>
      <c r="J428" s="20"/>
      <c r="K428" s="20"/>
    </row>
    <row r="429" spans="1:11" x14ac:dyDescent="0.2">
      <c r="A429" s="21"/>
      <c r="B429" s="22"/>
      <c r="C429" s="20"/>
      <c r="D429" s="20"/>
      <c r="F429" s="20"/>
      <c r="G429" s="20"/>
      <c r="H429" s="20"/>
      <c r="I429" s="20"/>
      <c r="J429" s="20"/>
      <c r="K429" s="20"/>
    </row>
    <row r="430" spans="1:11" x14ac:dyDescent="0.2">
      <c r="A430" s="21"/>
      <c r="B430" s="22"/>
      <c r="C430" s="20"/>
      <c r="D430" s="20"/>
      <c r="F430" s="20"/>
      <c r="G430" s="20"/>
      <c r="H430" s="20"/>
      <c r="I430" s="20"/>
      <c r="J430" s="20"/>
      <c r="K430" s="20"/>
    </row>
    <row r="431" spans="1:11" x14ac:dyDescent="0.2">
      <c r="A431" s="21"/>
      <c r="B431" s="22"/>
      <c r="C431" s="20"/>
      <c r="D431" s="20"/>
      <c r="F431" s="20"/>
      <c r="G431" s="20"/>
      <c r="H431" s="20"/>
      <c r="I431" s="20"/>
      <c r="J431" s="20"/>
      <c r="K431" s="20"/>
    </row>
    <row r="432" spans="1:11" x14ac:dyDescent="0.2">
      <c r="A432" s="21"/>
      <c r="B432" s="22"/>
      <c r="C432" s="20"/>
      <c r="D432" s="20"/>
      <c r="F432" s="20"/>
      <c r="G432" s="20"/>
      <c r="H432" s="20"/>
      <c r="I432" s="20"/>
      <c r="J432" s="20"/>
      <c r="K432" s="20"/>
    </row>
    <row r="433" spans="1:11" x14ac:dyDescent="0.2">
      <c r="A433" s="21"/>
      <c r="B433" s="22"/>
      <c r="C433" s="20"/>
      <c r="D433" s="20"/>
      <c r="F433" s="20"/>
      <c r="G433" s="20"/>
      <c r="H433" s="20"/>
      <c r="I433" s="20"/>
      <c r="J433" s="20"/>
      <c r="K433" s="20"/>
    </row>
    <row r="434" spans="1:11" x14ac:dyDescent="0.2">
      <c r="A434" s="21"/>
      <c r="B434" s="22"/>
      <c r="C434" s="20"/>
      <c r="D434" s="20"/>
      <c r="F434" s="20"/>
      <c r="G434" s="20"/>
      <c r="H434" s="20"/>
      <c r="I434" s="20"/>
      <c r="J434" s="20"/>
      <c r="K434" s="20"/>
    </row>
    <row r="435" spans="1:11" x14ac:dyDescent="0.2">
      <c r="A435" s="21"/>
      <c r="B435" s="22"/>
      <c r="C435" s="20"/>
      <c r="D435" s="20"/>
      <c r="F435" s="20"/>
      <c r="G435" s="20"/>
      <c r="H435" s="20"/>
      <c r="I435" s="20"/>
      <c r="J435" s="20"/>
      <c r="K435" s="20"/>
    </row>
    <row r="436" spans="1:11" x14ac:dyDescent="0.2">
      <c r="A436" s="21"/>
      <c r="B436" s="22"/>
      <c r="C436" s="20"/>
      <c r="D436" s="20"/>
      <c r="F436" s="20"/>
      <c r="G436" s="20"/>
      <c r="H436" s="20"/>
      <c r="I436" s="20"/>
      <c r="J436" s="20"/>
      <c r="K436" s="20"/>
    </row>
    <row r="437" spans="1:11" x14ac:dyDescent="0.2">
      <c r="A437" s="21"/>
      <c r="B437" s="22"/>
      <c r="C437" s="20"/>
      <c r="D437" s="20"/>
      <c r="F437" s="20"/>
      <c r="G437" s="20"/>
      <c r="H437" s="20"/>
      <c r="I437" s="20"/>
      <c r="J437" s="20"/>
      <c r="K437" s="20"/>
    </row>
    <row r="438" spans="1:11" x14ac:dyDescent="0.2">
      <c r="A438" s="21"/>
      <c r="B438" s="22"/>
      <c r="C438" s="20"/>
      <c r="D438" s="20"/>
      <c r="F438" s="20"/>
      <c r="G438" s="20"/>
      <c r="H438" s="20"/>
      <c r="I438" s="20"/>
      <c r="J438" s="20"/>
      <c r="K438" s="20"/>
    </row>
    <row r="439" spans="1:11" x14ac:dyDescent="0.2">
      <c r="A439" s="21"/>
      <c r="B439" s="22"/>
      <c r="C439" s="20"/>
      <c r="D439" s="20"/>
      <c r="F439" s="20"/>
      <c r="G439" s="20"/>
      <c r="H439" s="20"/>
      <c r="I439" s="20"/>
      <c r="J439" s="20"/>
      <c r="K439" s="20"/>
    </row>
    <row r="440" spans="1:11" x14ac:dyDescent="0.2">
      <c r="A440" s="21"/>
      <c r="B440" s="22"/>
      <c r="C440" s="20"/>
      <c r="D440" s="20"/>
      <c r="F440" s="20"/>
      <c r="G440" s="20"/>
      <c r="H440" s="20"/>
      <c r="I440" s="20"/>
      <c r="J440" s="20"/>
      <c r="K440" s="20"/>
    </row>
    <row r="441" spans="1:11" x14ac:dyDescent="0.2">
      <c r="A441" s="21"/>
      <c r="B441" s="22"/>
      <c r="C441" s="20"/>
      <c r="D441" s="20"/>
      <c r="F441" s="20"/>
      <c r="G441" s="20"/>
      <c r="H441" s="20"/>
      <c r="I441" s="20"/>
      <c r="J441" s="20"/>
      <c r="K441" s="20"/>
    </row>
    <row r="442" spans="1:11" x14ac:dyDescent="0.2">
      <c r="A442" s="21"/>
      <c r="B442" s="22"/>
      <c r="C442" s="20"/>
      <c r="D442" s="20"/>
      <c r="F442" s="20"/>
      <c r="G442" s="20"/>
      <c r="H442" s="20"/>
      <c r="I442" s="20"/>
      <c r="J442" s="20"/>
      <c r="K442" s="20"/>
    </row>
    <row r="443" spans="1:11" x14ac:dyDescent="0.2">
      <c r="A443" s="21"/>
      <c r="B443" s="22"/>
      <c r="C443" s="20"/>
      <c r="D443" s="20"/>
      <c r="F443" s="20"/>
      <c r="G443" s="20"/>
      <c r="H443" s="20"/>
      <c r="I443" s="20"/>
      <c r="J443" s="20"/>
      <c r="K443" s="20"/>
    </row>
    <row r="444" spans="1:11" x14ac:dyDescent="0.2">
      <c r="A444" s="21"/>
      <c r="B444" s="22"/>
      <c r="C444" s="20"/>
      <c r="D444" s="20"/>
      <c r="F444" s="20"/>
      <c r="G444" s="20"/>
      <c r="H444" s="20"/>
      <c r="I444" s="20"/>
      <c r="J444" s="20"/>
      <c r="K444" s="20"/>
    </row>
    <row r="445" spans="1:11" x14ac:dyDescent="0.2">
      <c r="A445" s="21"/>
      <c r="B445" s="22"/>
      <c r="C445" s="20"/>
      <c r="D445" s="20"/>
      <c r="F445" s="20"/>
      <c r="G445" s="20"/>
      <c r="H445" s="20"/>
      <c r="I445" s="20"/>
      <c r="J445" s="20"/>
      <c r="K445" s="20"/>
    </row>
    <row r="446" spans="1:11" x14ac:dyDescent="0.2">
      <c r="A446" s="21"/>
      <c r="B446" s="22"/>
      <c r="C446" s="20"/>
      <c r="D446" s="20"/>
      <c r="F446" s="20"/>
      <c r="G446" s="20"/>
      <c r="H446" s="20"/>
      <c r="I446" s="20"/>
      <c r="J446" s="20"/>
      <c r="K446" s="20"/>
    </row>
    <row r="447" spans="1:11" x14ac:dyDescent="0.2">
      <c r="A447" s="21"/>
      <c r="B447" s="22"/>
      <c r="C447" s="20"/>
      <c r="D447" s="20"/>
      <c r="F447" s="20"/>
      <c r="G447" s="20"/>
      <c r="H447" s="20"/>
      <c r="I447" s="20"/>
      <c r="J447" s="20"/>
      <c r="K447" s="20"/>
    </row>
    <row r="448" spans="1:11" x14ac:dyDescent="0.2">
      <c r="A448" s="21"/>
      <c r="B448" s="22"/>
      <c r="C448" s="20"/>
      <c r="D448" s="20"/>
      <c r="F448" s="20"/>
      <c r="G448" s="20"/>
      <c r="H448" s="20"/>
      <c r="I448" s="20"/>
      <c r="J448" s="20"/>
      <c r="K448" s="20"/>
    </row>
    <row r="449" spans="1:11" x14ac:dyDescent="0.2">
      <c r="A449" s="21"/>
      <c r="B449" s="22"/>
      <c r="C449" s="20"/>
      <c r="D449" s="20"/>
      <c r="F449" s="20"/>
      <c r="G449" s="20"/>
      <c r="H449" s="20"/>
      <c r="I449" s="20"/>
      <c r="J449" s="20"/>
      <c r="K449" s="20"/>
    </row>
    <row r="450" spans="1:11" x14ac:dyDescent="0.2">
      <c r="A450" s="21"/>
      <c r="B450" s="22"/>
      <c r="C450" s="20"/>
      <c r="D450" s="20"/>
      <c r="F450" s="20"/>
      <c r="G450" s="20"/>
      <c r="H450" s="20"/>
      <c r="I450" s="20"/>
      <c r="J450" s="20"/>
      <c r="K450" s="20"/>
    </row>
    <row r="451" spans="1:11" x14ac:dyDescent="0.2">
      <c r="A451" s="21"/>
      <c r="B451" s="22"/>
      <c r="C451" s="20"/>
      <c r="D451" s="20"/>
      <c r="F451" s="20"/>
      <c r="G451" s="20"/>
      <c r="H451" s="20"/>
      <c r="I451" s="20"/>
      <c r="J451" s="20"/>
      <c r="K451" s="20"/>
    </row>
    <row r="452" spans="1:11" x14ac:dyDescent="0.2">
      <c r="A452" s="21"/>
      <c r="B452" s="22"/>
      <c r="C452" s="20"/>
      <c r="D452" s="20"/>
      <c r="F452" s="20"/>
      <c r="G452" s="20"/>
      <c r="H452" s="20"/>
      <c r="I452" s="20"/>
      <c r="J452" s="20"/>
      <c r="K452" s="20"/>
    </row>
    <row r="453" spans="1:11" x14ac:dyDescent="0.2">
      <c r="A453" s="21"/>
      <c r="B453" s="22"/>
      <c r="C453" s="20"/>
      <c r="D453" s="20"/>
      <c r="F453" s="20"/>
      <c r="G453" s="20"/>
      <c r="H453" s="20"/>
      <c r="I453" s="20"/>
      <c r="J453" s="20"/>
      <c r="K453" s="20"/>
    </row>
    <row r="454" spans="1:11" x14ac:dyDescent="0.2">
      <c r="A454" s="21"/>
      <c r="B454" s="22"/>
      <c r="C454" s="20"/>
      <c r="D454" s="20"/>
      <c r="F454" s="20"/>
      <c r="G454" s="20"/>
      <c r="H454" s="20"/>
      <c r="I454" s="20"/>
      <c r="J454" s="20"/>
      <c r="K454" s="20"/>
    </row>
    <row r="455" spans="1:11" x14ac:dyDescent="0.2">
      <c r="A455" s="21"/>
      <c r="B455" s="22"/>
      <c r="C455" s="20"/>
      <c r="D455" s="20"/>
      <c r="F455" s="20"/>
      <c r="G455" s="20"/>
      <c r="H455" s="20"/>
      <c r="I455" s="20"/>
      <c r="J455" s="20"/>
      <c r="K455" s="20"/>
    </row>
    <row r="456" spans="1:11" x14ac:dyDescent="0.2">
      <c r="A456" s="21"/>
      <c r="B456" s="22"/>
      <c r="C456" s="20"/>
      <c r="D456" s="20"/>
      <c r="F456" s="20"/>
      <c r="G456" s="20"/>
      <c r="H456" s="20"/>
      <c r="I456" s="20"/>
      <c r="J456" s="20"/>
      <c r="K456" s="20"/>
    </row>
    <row r="457" spans="1:11" x14ac:dyDescent="0.2">
      <c r="A457" s="21"/>
      <c r="B457" s="22"/>
      <c r="C457" s="20"/>
      <c r="D457" s="20"/>
      <c r="F457" s="20"/>
      <c r="G457" s="20"/>
      <c r="H457" s="20"/>
      <c r="I457" s="20"/>
      <c r="J457" s="20"/>
      <c r="K457" s="20"/>
    </row>
    <row r="458" spans="1:11" x14ac:dyDescent="0.2">
      <c r="A458" s="21"/>
      <c r="B458" s="22"/>
      <c r="C458" s="20"/>
      <c r="D458" s="20"/>
      <c r="F458" s="20"/>
      <c r="G458" s="20"/>
      <c r="H458" s="20"/>
      <c r="I458" s="20"/>
      <c r="J458" s="20"/>
      <c r="K458" s="20"/>
    </row>
    <row r="459" spans="1:11" x14ac:dyDescent="0.2">
      <c r="A459" s="21"/>
      <c r="B459" s="22"/>
      <c r="C459" s="20"/>
      <c r="D459" s="20"/>
      <c r="F459" s="20"/>
      <c r="G459" s="20"/>
      <c r="H459" s="20"/>
      <c r="I459" s="20"/>
      <c r="J459" s="20"/>
      <c r="K459" s="20"/>
    </row>
    <row r="460" spans="1:11" x14ac:dyDescent="0.2">
      <c r="A460" s="21"/>
      <c r="B460" s="22"/>
      <c r="C460" s="20"/>
      <c r="D460" s="20"/>
      <c r="F460" s="20"/>
      <c r="G460" s="20"/>
      <c r="H460" s="20"/>
      <c r="I460" s="20"/>
      <c r="J460" s="20"/>
      <c r="K460" s="20"/>
    </row>
    <row r="461" spans="1:11" x14ac:dyDescent="0.2">
      <c r="A461" s="21"/>
      <c r="B461" s="22"/>
      <c r="C461" s="20"/>
      <c r="D461" s="20"/>
      <c r="F461" s="20"/>
      <c r="G461" s="20"/>
      <c r="H461" s="20"/>
      <c r="I461" s="20"/>
      <c r="J461" s="20"/>
      <c r="K461" s="20"/>
    </row>
    <row r="462" spans="1:11" x14ac:dyDescent="0.2">
      <c r="A462" s="21"/>
      <c r="B462" s="22"/>
      <c r="C462" s="20"/>
      <c r="D462" s="20"/>
      <c r="F462" s="20"/>
      <c r="G462" s="20"/>
      <c r="H462" s="20"/>
      <c r="I462" s="20"/>
      <c r="J462" s="20"/>
      <c r="K462" s="20"/>
    </row>
    <row r="463" spans="1:11" x14ac:dyDescent="0.2">
      <c r="A463" s="21"/>
      <c r="B463" s="22"/>
      <c r="C463" s="20"/>
      <c r="D463" s="20"/>
      <c r="F463" s="20"/>
      <c r="G463" s="20"/>
      <c r="H463" s="20"/>
      <c r="I463" s="20"/>
      <c r="J463" s="20"/>
      <c r="K463" s="20"/>
    </row>
    <row r="464" spans="1:11" x14ac:dyDescent="0.2">
      <c r="A464" s="21"/>
      <c r="B464" s="22"/>
      <c r="C464" s="20"/>
      <c r="D464" s="20"/>
      <c r="F464" s="20"/>
      <c r="G464" s="20"/>
      <c r="H464" s="20"/>
      <c r="I464" s="20"/>
      <c r="J464" s="20"/>
      <c r="K464" s="20"/>
    </row>
    <row r="465" spans="1:11" x14ac:dyDescent="0.2">
      <c r="A465" s="21"/>
      <c r="B465" s="22"/>
      <c r="C465" s="20"/>
      <c r="D465" s="20"/>
      <c r="F465" s="20"/>
      <c r="G465" s="20"/>
      <c r="H465" s="20"/>
      <c r="I465" s="20"/>
      <c r="J465" s="20"/>
      <c r="K465" s="20"/>
    </row>
    <row r="466" spans="1:11" x14ac:dyDescent="0.2">
      <c r="A466" s="21"/>
      <c r="B466" s="22"/>
      <c r="C466" s="20"/>
      <c r="D466" s="20"/>
      <c r="F466" s="20"/>
      <c r="G466" s="20"/>
      <c r="H466" s="20"/>
      <c r="I466" s="20"/>
      <c r="J466" s="20"/>
      <c r="K466" s="20"/>
    </row>
    <row r="467" spans="1:11" x14ac:dyDescent="0.2">
      <c r="A467" s="21"/>
      <c r="B467" s="22"/>
      <c r="C467" s="20"/>
      <c r="D467" s="20"/>
      <c r="F467" s="20"/>
      <c r="G467" s="20"/>
      <c r="H467" s="20"/>
      <c r="I467" s="20"/>
      <c r="J467" s="20"/>
      <c r="K467" s="20"/>
    </row>
    <row r="468" spans="1:11" x14ac:dyDescent="0.2">
      <c r="A468" s="21"/>
      <c r="B468" s="22"/>
      <c r="C468" s="20"/>
      <c r="D468" s="20"/>
      <c r="F468" s="20"/>
      <c r="G468" s="20"/>
      <c r="H468" s="20"/>
      <c r="I468" s="20"/>
      <c r="J468" s="20"/>
      <c r="K468" s="20"/>
    </row>
    <row r="469" spans="1:11" x14ac:dyDescent="0.2">
      <c r="A469" s="21"/>
      <c r="B469" s="22"/>
      <c r="C469" s="20"/>
      <c r="D469" s="20"/>
      <c r="F469" s="20"/>
      <c r="G469" s="20"/>
      <c r="H469" s="20"/>
      <c r="I469" s="20"/>
      <c r="J469" s="20"/>
      <c r="K469" s="20"/>
    </row>
    <row r="470" spans="1:11" x14ac:dyDescent="0.2">
      <c r="A470" s="21"/>
      <c r="B470" s="22"/>
      <c r="C470" s="20"/>
      <c r="D470" s="20"/>
      <c r="F470" s="20"/>
      <c r="G470" s="20"/>
      <c r="H470" s="20"/>
      <c r="I470" s="20"/>
      <c r="J470" s="20"/>
      <c r="K470" s="20"/>
    </row>
    <row r="471" spans="1:11" x14ac:dyDescent="0.2">
      <c r="A471" s="21"/>
      <c r="B471" s="22"/>
      <c r="C471" s="20"/>
      <c r="D471" s="20"/>
      <c r="F471" s="20"/>
      <c r="G471" s="20"/>
      <c r="H471" s="20"/>
      <c r="I471" s="20"/>
      <c r="J471" s="20"/>
      <c r="K471" s="20"/>
    </row>
    <row r="472" spans="1:11" x14ac:dyDescent="0.2">
      <c r="A472" s="21"/>
      <c r="B472" s="22"/>
      <c r="C472" s="20"/>
      <c r="D472" s="20"/>
      <c r="F472" s="20"/>
      <c r="G472" s="20"/>
      <c r="H472" s="20"/>
      <c r="I472" s="20"/>
      <c r="J472" s="20"/>
      <c r="K472" s="20"/>
    </row>
    <row r="473" spans="1:11" x14ac:dyDescent="0.2">
      <c r="A473" s="21"/>
      <c r="B473" s="22"/>
      <c r="C473" s="20"/>
      <c r="D473" s="20"/>
      <c r="F473" s="20"/>
      <c r="G473" s="20"/>
      <c r="H473" s="20"/>
      <c r="I473" s="20"/>
      <c r="J473" s="20"/>
      <c r="K473" s="20"/>
    </row>
    <row r="474" spans="1:11" x14ac:dyDescent="0.2">
      <c r="A474" s="21"/>
      <c r="B474" s="22"/>
      <c r="C474" s="20"/>
      <c r="D474" s="20"/>
      <c r="F474" s="20"/>
      <c r="G474" s="20"/>
      <c r="H474" s="20"/>
      <c r="I474" s="20"/>
      <c r="J474" s="20"/>
      <c r="K474" s="20"/>
    </row>
    <row r="475" spans="1:11" x14ac:dyDescent="0.2">
      <c r="A475" s="21"/>
      <c r="B475" s="22"/>
      <c r="C475" s="20"/>
      <c r="D475" s="20"/>
      <c r="F475" s="20"/>
      <c r="G475" s="20"/>
      <c r="H475" s="20"/>
      <c r="I475" s="20"/>
      <c r="J475" s="20"/>
      <c r="K475" s="20"/>
    </row>
    <row r="476" spans="1:11" x14ac:dyDescent="0.2">
      <c r="A476" s="21"/>
      <c r="B476" s="22"/>
      <c r="C476" s="20"/>
      <c r="D476" s="20"/>
      <c r="F476" s="20"/>
      <c r="G476" s="20"/>
      <c r="H476" s="20"/>
      <c r="I476" s="20"/>
      <c r="J476" s="20"/>
      <c r="K476" s="20"/>
    </row>
    <row r="477" spans="1:11" x14ac:dyDescent="0.2">
      <c r="A477" s="21"/>
      <c r="B477" s="22"/>
      <c r="C477" s="20"/>
      <c r="D477" s="20"/>
      <c r="F477" s="20"/>
      <c r="G477" s="20"/>
      <c r="H477" s="20"/>
      <c r="I477" s="20"/>
      <c r="J477" s="20"/>
      <c r="K477" s="20"/>
    </row>
    <row r="478" spans="1:11" x14ac:dyDescent="0.2">
      <c r="A478" s="21"/>
      <c r="B478" s="22"/>
      <c r="C478" s="20"/>
      <c r="D478" s="20"/>
      <c r="F478" s="20"/>
      <c r="G478" s="20"/>
      <c r="H478" s="20"/>
      <c r="I478" s="20"/>
      <c r="J478" s="20"/>
      <c r="K478" s="20"/>
    </row>
    <row r="479" spans="1:11" x14ac:dyDescent="0.2">
      <c r="A479" s="21"/>
      <c r="B479" s="22"/>
      <c r="C479" s="20"/>
      <c r="D479" s="20"/>
      <c r="F479" s="20"/>
      <c r="G479" s="20"/>
      <c r="H479" s="20"/>
      <c r="I479" s="20"/>
      <c r="J479" s="20"/>
      <c r="K479" s="20"/>
    </row>
    <row r="480" spans="1:11" x14ac:dyDescent="0.2">
      <c r="A480" s="21"/>
      <c r="B480" s="22"/>
      <c r="C480" s="20"/>
      <c r="D480" s="20"/>
      <c r="F480" s="20"/>
      <c r="G480" s="20"/>
      <c r="H480" s="20"/>
      <c r="I480" s="20"/>
      <c r="J480" s="20"/>
      <c r="K480" s="20"/>
    </row>
    <row r="481" spans="1:11" x14ac:dyDescent="0.2">
      <c r="A481" s="21"/>
      <c r="B481" s="22"/>
      <c r="C481" s="20"/>
      <c r="D481" s="20"/>
      <c r="F481" s="20"/>
      <c r="G481" s="20"/>
      <c r="H481" s="20"/>
      <c r="I481" s="20"/>
      <c r="J481" s="20"/>
      <c r="K481" s="20"/>
    </row>
    <row r="482" spans="1:11" x14ac:dyDescent="0.2">
      <c r="A482" s="21"/>
      <c r="B482" s="22"/>
      <c r="C482" s="20"/>
      <c r="D482" s="20"/>
      <c r="F482" s="20"/>
      <c r="G482" s="20"/>
      <c r="H482" s="20"/>
      <c r="I482" s="20"/>
      <c r="J482" s="20"/>
      <c r="K482" s="20"/>
    </row>
    <row r="483" spans="1:11" x14ac:dyDescent="0.2">
      <c r="A483" s="21"/>
      <c r="B483" s="22"/>
      <c r="C483" s="20"/>
      <c r="D483" s="20"/>
      <c r="F483" s="20"/>
      <c r="G483" s="20"/>
      <c r="H483" s="20"/>
      <c r="I483" s="20"/>
      <c r="J483" s="20"/>
      <c r="K483" s="20"/>
    </row>
    <row r="484" spans="1:11" x14ac:dyDescent="0.2">
      <c r="A484" s="21"/>
      <c r="B484" s="22"/>
      <c r="C484" s="20"/>
      <c r="D484" s="20"/>
      <c r="F484" s="20"/>
      <c r="G484" s="20"/>
      <c r="H484" s="20"/>
      <c r="I484" s="20"/>
      <c r="J484" s="20"/>
      <c r="K484" s="20"/>
    </row>
    <row r="485" spans="1:11" x14ac:dyDescent="0.2">
      <c r="A485" s="21"/>
      <c r="B485" s="22"/>
      <c r="C485" s="20"/>
      <c r="D485" s="20"/>
      <c r="F485" s="20"/>
      <c r="G485" s="20"/>
      <c r="H485" s="20"/>
      <c r="I485" s="20"/>
      <c r="J485" s="20"/>
      <c r="K485" s="20"/>
    </row>
    <row r="486" spans="1:11" x14ac:dyDescent="0.2">
      <c r="A486" s="21"/>
      <c r="B486" s="22"/>
      <c r="C486" s="20"/>
      <c r="D486" s="20"/>
      <c r="F486" s="20"/>
      <c r="G486" s="20"/>
      <c r="H486" s="20"/>
      <c r="I486" s="20"/>
      <c r="J486" s="20"/>
      <c r="K486" s="20"/>
    </row>
    <row r="487" spans="1:11" x14ac:dyDescent="0.2">
      <c r="A487" s="21"/>
      <c r="B487" s="22"/>
      <c r="C487" s="20"/>
      <c r="D487" s="20"/>
      <c r="F487" s="20"/>
      <c r="G487" s="20"/>
      <c r="H487" s="20"/>
      <c r="I487" s="20"/>
      <c r="J487" s="20"/>
      <c r="K487" s="20"/>
    </row>
    <row r="488" spans="1:11" x14ac:dyDescent="0.2">
      <c r="A488" s="21"/>
      <c r="B488" s="22"/>
      <c r="C488" s="20"/>
      <c r="D488" s="20"/>
      <c r="F488" s="20"/>
      <c r="G488" s="20"/>
      <c r="H488" s="20"/>
      <c r="I488" s="20"/>
      <c r="J488" s="20"/>
      <c r="K488" s="20"/>
    </row>
    <row r="489" spans="1:11" x14ac:dyDescent="0.2">
      <c r="A489" s="21"/>
      <c r="B489" s="22"/>
      <c r="C489" s="20"/>
      <c r="D489" s="20"/>
      <c r="F489" s="20"/>
      <c r="G489" s="20"/>
      <c r="H489" s="20"/>
      <c r="I489" s="20"/>
      <c r="J489" s="20"/>
      <c r="K489" s="20"/>
    </row>
    <row r="490" spans="1:11" x14ac:dyDescent="0.2">
      <c r="A490" s="21"/>
      <c r="B490" s="22"/>
      <c r="C490" s="20"/>
      <c r="D490" s="20"/>
      <c r="F490" s="20"/>
      <c r="G490" s="20"/>
      <c r="H490" s="20"/>
      <c r="I490" s="20"/>
      <c r="J490" s="20"/>
      <c r="K490" s="20"/>
    </row>
    <row r="491" spans="1:11" x14ac:dyDescent="0.2">
      <c r="A491" s="21"/>
      <c r="B491" s="22"/>
      <c r="C491" s="20"/>
      <c r="D491" s="20"/>
      <c r="F491" s="20"/>
      <c r="G491" s="20"/>
      <c r="H491" s="20"/>
      <c r="I491" s="20"/>
      <c r="J491" s="20"/>
      <c r="K491" s="20"/>
    </row>
    <row r="492" spans="1:11" x14ac:dyDescent="0.2">
      <c r="A492" s="21"/>
      <c r="B492" s="22"/>
      <c r="C492" s="20"/>
      <c r="D492" s="20"/>
      <c r="F492" s="20"/>
      <c r="G492" s="20"/>
      <c r="H492" s="20"/>
      <c r="I492" s="20"/>
      <c r="J492" s="20"/>
      <c r="K492" s="20"/>
    </row>
    <row r="493" spans="1:11" x14ac:dyDescent="0.2">
      <c r="A493" s="21"/>
      <c r="B493" s="22"/>
      <c r="C493" s="20"/>
      <c r="D493" s="20"/>
      <c r="F493" s="20"/>
      <c r="G493" s="20"/>
      <c r="H493" s="20"/>
      <c r="I493" s="20"/>
      <c r="J493" s="20"/>
      <c r="K493" s="20"/>
    </row>
    <row r="494" spans="1:11" x14ac:dyDescent="0.2">
      <c r="A494" s="21"/>
      <c r="B494" s="22"/>
      <c r="C494" s="20"/>
      <c r="D494" s="20"/>
      <c r="F494" s="20"/>
      <c r="G494" s="20"/>
      <c r="H494" s="20"/>
      <c r="I494" s="20"/>
      <c r="J494" s="20"/>
      <c r="K494" s="20"/>
    </row>
    <row r="495" spans="1:11" x14ac:dyDescent="0.2">
      <c r="A495" s="21"/>
      <c r="B495" s="22"/>
      <c r="C495" s="20"/>
      <c r="D495" s="20"/>
      <c r="F495" s="20"/>
      <c r="G495" s="20"/>
      <c r="H495" s="20"/>
      <c r="I495" s="20"/>
      <c r="J495" s="20"/>
      <c r="K495" s="20"/>
    </row>
    <row r="496" spans="1:11" x14ac:dyDescent="0.2">
      <c r="A496" s="21"/>
      <c r="B496" s="22"/>
      <c r="C496" s="20"/>
      <c r="D496" s="20"/>
      <c r="F496" s="20"/>
      <c r="G496" s="20"/>
      <c r="H496" s="20"/>
      <c r="I496" s="20"/>
      <c r="J496" s="20"/>
      <c r="K496" s="20"/>
    </row>
    <row r="497" spans="1:11" x14ac:dyDescent="0.2">
      <c r="A497" s="21"/>
      <c r="B497" s="22"/>
      <c r="C497" s="20"/>
      <c r="D497" s="20"/>
      <c r="F497" s="20"/>
      <c r="G497" s="20"/>
      <c r="H497" s="20"/>
      <c r="I497" s="20"/>
      <c r="J497" s="20"/>
      <c r="K497" s="20"/>
    </row>
    <row r="498" spans="1:11" x14ac:dyDescent="0.2">
      <c r="A498" s="21"/>
      <c r="B498" s="22"/>
      <c r="C498" s="20"/>
      <c r="D498" s="20"/>
      <c r="F498" s="20"/>
      <c r="G498" s="20"/>
      <c r="H498" s="20"/>
      <c r="I498" s="20"/>
      <c r="J498" s="20"/>
      <c r="K498" s="20"/>
    </row>
    <row r="499" spans="1:11" x14ac:dyDescent="0.2">
      <c r="A499" s="21"/>
      <c r="B499" s="22"/>
      <c r="C499" s="20"/>
      <c r="D499" s="20"/>
      <c r="F499" s="20"/>
      <c r="G499" s="20"/>
      <c r="H499" s="20"/>
      <c r="I499" s="20"/>
      <c r="J499" s="20"/>
      <c r="K499" s="20"/>
    </row>
    <row r="500" spans="1:11" x14ac:dyDescent="0.2">
      <c r="A500" s="21"/>
      <c r="B500" s="22"/>
      <c r="C500" s="20"/>
      <c r="D500" s="20"/>
      <c r="F500" s="20"/>
      <c r="G500" s="20"/>
      <c r="H500" s="20"/>
      <c r="I500" s="20"/>
      <c r="J500" s="20"/>
      <c r="K500" s="20"/>
    </row>
    <row r="501" spans="1:11" x14ac:dyDescent="0.2">
      <c r="A501" s="21"/>
      <c r="B501" s="22"/>
      <c r="C501" s="20"/>
      <c r="D501" s="20"/>
      <c r="F501" s="20"/>
      <c r="G501" s="20"/>
      <c r="H501" s="20"/>
      <c r="I501" s="20"/>
      <c r="J501" s="20"/>
      <c r="K501" s="20"/>
    </row>
    <row r="502" spans="1:11" x14ac:dyDescent="0.2">
      <c r="A502" s="21"/>
      <c r="B502" s="22"/>
      <c r="C502" s="20"/>
      <c r="D502" s="20"/>
      <c r="F502" s="20"/>
      <c r="G502" s="20"/>
      <c r="H502" s="20"/>
      <c r="I502" s="20"/>
      <c r="J502" s="20"/>
      <c r="K502" s="20"/>
    </row>
    <row r="503" spans="1:11" x14ac:dyDescent="0.2">
      <c r="A503" s="21"/>
      <c r="B503" s="22"/>
      <c r="C503" s="20"/>
      <c r="D503" s="20"/>
      <c r="F503" s="20"/>
      <c r="G503" s="20"/>
      <c r="H503" s="20"/>
      <c r="I503" s="20"/>
      <c r="J503" s="20"/>
      <c r="K503" s="20"/>
    </row>
    <row r="504" spans="1:11" x14ac:dyDescent="0.2">
      <c r="A504" s="21"/>
      <c r="B504" s="22"/>
      <c r="C504" s="20"/>
      <c r="D504" s="20"/>
      <c r="F504" s="20"/>
      <c r="G504" s="20"/>
      <c r="H504" s="20"/>
      <c r="I504" s="20"/>
      <c r="J504" s="20"/>
      <c r="K504" s="20"/>
    </row>
    <row r="505" spans="1:11" x14ac:dyDescent="0.2">
      <c r="A505" s="21"/>
      <c r="B505" s="22"/>
      <c r="C505" s="20"/>
      <c r="D505" s="20"/>
      <c r="F505" s="20"/>
      <c r="G505" s="20"/>
      <c r="H505" s="20"/>
      <c r="I505" s="20"/>
      <c r="J505" s="20"/>
      <c r="K505" s="20"/>
    </row>
    <row r="506" spans="1:11" x14ac:dyDescent="0.2">
      <c r="A506" s="21"/>
      <c r="B506" s="22"/>
      <c r="C506" s="20"/>
      <c r="D506" s="20"/>
      <c r="F506" s="20"/>
      <c r="G506" s="20"/>
      <c r="H506" s="20"/>
      <c r="I506" s="20"/>
      <c r="J506" s="20"/>
      <c r="K506" s="20"/>
    </row>
    <row r="507" spans="1:11" x14ac:dyDescent="0.2">
      <c r="A507" s="21"/>
      <c r="B507" s="22"/>
      <c r="C507" s="20"/>
      <c r="D507" s="20"/>
      <c r="F507" s="20"/>
      <c r="G507" s="20"/>
      <c r="H507" s="20"/>
      <c r="I507" s="20"/>
      <c r="J507" s="20"/>
      <c r="K507" s="20"/>
    </row>
    <row r="508" spans="1:11" x14ac:dyDescent="0.2">
      <c r="A508" s="21"/>
      <c r="B508" s="22"/>
      <c r="C508" s="20"/>
      <c r="D508" s="20"/>
      <c r="F508" s="20"/>
      <c r="G508" s="20"/>
      <c r="H508" s="20"/>
      <c r="I508" s="20"/>
      <c r="J508" s="20"/>
      <c r="K508" s="20"/>
    </row>
    <row r="509" spans="1:11" x14ac:dyDescent="0.2">
      <c r="A509" s="21"/>
      <c r="B509" s="22"/>
      <c r="C509" s="20"/>
      <c r="D509" s="20"/>
      <c r="F509" s="20"/>
      <c r="G509" s="20"/>
      <c r="H509" s="20"/>
      <c r="I509" s="20"/>
      <c r="J509" s="20"/>
      <c r="K509" s="20"/>
    </row>
    <row r="510" spans="1:11" x14ac:dyDescent="0.2">
      <c r="A510" s="21"/>
      <c r="B510" s="22"/>
      <c r="C510" s="20"/>
      <c r="D510" s="20"/>
      <c r="F510" s="20"/>
      <c r="G510" s="20"/>
      <c r="H510" s="20"/>
      <c r="I510" s="20"/>
      <c r="J510" s="20"/>
      <c r="K510" s="20"/>
    </row>
    <row r="511" spans="1:11" x14ac:dyDescent="0.2">
      <c r="A511" s="21"/>
      <c r="B511" s="22"/>
      <c r="C511" s="20"/>
      <c r="D511" s="20"/>
      <c r="F511" s="20"/>
      <c r="G511" s="20"/>
      <c r="H511" s="20"/>
      <c r="I511" s="20"/>
      <c r="J511" s="20"/>
      <c r="K511" s="20"/>
    </row>
    <row r="512" spans="1:11" x14ac:dyDescent="0.2">
      <c r="A512" s="21"/>
      <c r="B512" s="22"/>
      <c r="C512" s="20"/>
      <c r="D512" s="20"/>
      <c r="F512" s="20"/>
      <c r="G512" s="20"/>
      <c r="H512" s="20"/>
      <c r="I512" s="20"/>
      <c r="J512" s="20"/>
      <c r="K512" s="20"/>
    </row>
    <row r="513" spans="1:11" x14ac:dyDescent="0.2">
      <c r="A513" s="21"/>
      <c r="B513" s="22"/>
      <c r="C513" s="20"/>
      <c r="D513" s="20"/>
      <c r="F513" s="20"/>
      <c r="G513" s="20"/>
      <c r="H513" s="20"/>
      <c r="I513" s="20"/>
      <c r="J513" s="20"/>
      <c r="K513" s="20"/>
    </row>
    <row r="514" spans="1:11" x14ac:dyDescent="0.2">
      <c r="A514" s="21"/>
      <c r="B514" s="22"/>
      <c r="C514" s="20"/>
      <c r="D514" s="20"/>
      <c r="F514" s="20"/>
      <c r="G514" s="20"/>
      <c r="H514" s="20"/>
      <c r="I514" s="20"/>
      <c r="J514" s="20"/>
      <c r="K514" s="20"/>
    </row>
    <row r="515" spans="1:11" x14ac:dyDescent="0.2">
      <c r="A515" s="21"/>
      <c r="B515" s="22"/>
      <c r="C515" s="20"/>
      <c r="D515" s="20"/>
      <c r="F515" s="20"/>
      <c r="G515" s="20"/>
      <c r="H515" s="20"/>
      <c r="I515" s="20"/>
      <c r="J515" s="20"/>
      <c r="K515" s="20"/>
    </row>
    <row r="516" spans="1:11" x14ac:dyDescent="0.2">
      <c r="A516" s="21"/>
      <c r="B516" s="22"/>
      <c r="C516" s="20"/>
      <c r="D516" s="20"/>
      <c r="F516" s="20"/>
      <c r="G516" s="20"/>
      <c r="H516" s="20"/>
      <c r="I516" s="20"/>
      <c r="J516" s="20"/>
      <c r="K516" s="20"/>
    </row>
    <row r="517" spans="1:11" x14ac:dyDescent="0.2">
      <c r="A517" s="21"/>
      <c r="B517" s="22"/>
      <c r="C517" s="20"/>
      <c r="D517" s="20"/>
      <c r="F517" s="20"/>
      <c r="G517" s="20"/>
      <c r="H517" s="20"/>
      <c r="I517" s="20"/>
      <c r="J517" s="20"/>
      <c r="K517" s="20"/>
    </row>
    <row r="518" spans="1:11" x14ac:dyDescent="0.2">
      <c r="A518" s="21"/>
      <c r="B518" s="22"/>
      <c r="C518" s="20"/>
      <c r="D518" s="20"/>
      <c r="F518" s="20"/>
      <c r="G518" s="20"/>
      <c r="H518" s="20"/>
      <c r="I518" s="20"/>
      <c r="J518" s="20"/>
      <c r="K518" s="20"/>
    </row>
    <row r="519" spans="1:11" x14ac:dyDescent="0.2">
      <c r="A519" s="21"/>
      <c r="B519" s="22"/>
      <c r="C519" s="20"/>
      <c r="D519" s="20"/>
      <c r="F519" s="20"/>
      <c r="G519" s="20"/>
      <c r="H519" s="20"/>
      <c r="I519" s="20"/>
      <c r="J519" s="20"/>
      <c r="K519" s="20"/>
    </row>
    <row r="520" spans="1:11" x14ac:dyDescent="0.2">
      <c r="A520" s="21"/>
      <c r="B520" s="22"/>
      <c r="C520" s="20"/>
      <c r="D520" s="20"/>
      <c r="F520" s="20"/>
      <c r="G520" s="20"/>
      <c r="H520" s="20"/>
      <c r="I520" s="20"/>
      <c r="J520" s="20"/>
      <c r="K520" s="20"/>
    </row>
    <row r="521" spans="1:11" x14ac:dyDescent="0.2">
      <c r="A521" s="21"/>
      <c r="B521" s="22"/>
      <c r="C521" s="20"/>
      <c r="D521" s="20"/>
      <c r="F521" s="20"/>
      <c r="G521" s="20"/>
      <c r="H521" s="20"/>
      <c r="I521" s="20"/>
      <c r="J521" s="20"/>
      <c r="K521" s="20"/>
    </row>
    <row r="522" spans="1:11" x14ac:dyDescent="0.2">
      <c r="A522" s="21"/>
      <c r="B522" s="22"/>
      <c r="C522" s="20"/>
      <c r="D522" s="20"/>
      <c r="F522" s="20"/>
      <c r="G522" s="20"/>
      <c r="H522" s="20"/>
      <c r="I522" s="20"/>
      <c r="J522" s="20"/>
      <c r="K522" s="20"/>
    </row>
    <row r="523" spans="1:11" x14ac:dyDescent="0.2">
      <c r="A523" s="21"/>
      <c r="B523" s="22"/>
      <c r="C523" s="20"/>
      <c r="D523" s="20"/>
      <c r="F523" s="20"/>
      <c r="G523" s="20"/>
      <c r="H523" s="20"/>
      <c r="I523" s="20"/>
      <c r="J523" s="20"/>
      <c r="K523" s="20"/>
    </row>
    <row r="524" spans="1:11" x14ac:dyDescent="0.2">
      <c r="A524" s="21"/>
      <c r="B524" s="22"/>
      <c r="C524" s="20"/>
      <c r="D524" s="20"/>
      <c r="F524" s="20"/>
      <c r="G524" s="20"/>
      <c r="H524" s="20"/>
      <c r="I524" s="20"/>
      <c r="J524" s="20"/>
      <c r="K524" s="20"/>
    </row>
    <row r="525" spans="1:11" x14ac:dyDescent="0.2">
      <c r="A525" s="21"/>
      <c r="B525" s="22"/>
      <c r="C525" s="20"/>
      <c r="D525" s="20"/>
      <c r="F525" s="20"/>
      <c r="G525" s="20"/>
      <c r="H525" s="20"/>
      <c r="I525" s="20"/>
      <c r="J525" s="20"/>
      <c r="K525" s="20"/>
    </row>
    <row r="526" spans="1:11" x14ac:dyDescent="0.2">
      <c r="A526" s="21"/>
      <c r="B526" s="22"/>
      <c r="C526" s="20"/>
      <c r="D526" s="20"/>
      <c r="F526" s="20"/>
      <c r="G526" s="20"/>
      <c r="H526" s="20"/>
      <c r="I526" s="20"/>
      <c r="J526" s="20"/>
      <c r="K526" s="20"/>
    </row>
    <row r="527" spans="1:11" x14ac:dyDescent="0.2">
      <c r="A527" s="21"/>
      <c r="B527" s="22"/>
      <c r="C527" s="20"/>
      <c r="D527" s="20"/>
      <c r="F527" s="20"/>
      <c r="G527" s="20"/>
      <c r="H527" s="20"/>
      <c r="I527" s="20"/>
      <c r="J527" s="20"/>
      <c r="K527" s="20"/>
    </row>
    <row r="528" spans="1:11" x14ac:dyDescent="0.2">
      <c r="A528" s="21"/>
      <c r="B528" s="22"/>
      <c r="C528" s="20"/>
      <c r="D528" s="20"/>
      <c r="F528" s="20"/>
      <c r="G528" s="20"/>
      <c r="H528" s="20"/>
      <c r="I528" s="20"/>
      <c r="J528" s="20"/>
      <c r="K528" s="20"/>
    </row>
    <row r="529" spans="1:11" x14ac:dyDescent="0.2">
      <c r="A529" s="21"/>
      <c r="B529" s="22"/>
      <c r="C529" s="20"/>
      <c r="D529" s="20"/>
      <c r="F529" s="20"/>
      <c r="G529" s="20"/>
      <c r="H529" s="20"/>
      <c r="I529" s="20"/>
      <c r="J529" s="20"/>
      <c r="K529" s="20"/>
    </row>
    <row r="530" spans="1:11" x14ac:dyDescent="0.2">
      <c r="A530" s="21"/>
      <c r="B530" s="22"/>
      <c r="C530" s="20"/>
      <c r="D530" s="20"/>
      <c r="F530" s="20"/>
      <c r="G530" s="20"/>
      <c r="H530" s="20"/>
      <c r="I530" s="20"/>
      <c r="J530" s="20"/>
      <c r="K530" s="20"/>
    </row>
    <row r="531" spans="1:11" x14ac:dyDescent="0.2">
      <c r="A531" s="21"/>
      <c r="B531" s="22"/>
      <c r="C531" s="20"/>
      <c r="D531" s="20"/>
      <c r="F531" s="20"/>
      <c r="G531" s="20"/>
      <c r="H531" s="20"/>
      <c r="I531" s="20"/>
      <c r="J531" s="20"/>
      <c r="K531" s="20"/>
    </row>
    <row r="532" spans="1:11" x14ac:dyDescent="0.2">
      <c r="A532" s="21"/>
      <c r="B532" s="22"/>
      <c r="C532" s="20"/>
      <c r="D532" s="20"/>
      <c r="F532" s="20"/>
      <c r="G532" s="20"/>
      <c r="H532" s="20"/>
      <c r="I532" s="20"/>
      <c r="J532" s="20"/>
      <c r="K532" s="20"/>
    </row>
    <row r="533" spans="1:11" x14ac:dyDescent="0.2">
      <c r="A533" s="21"/>
      <c r="B533" s="23"/>
      <c r="D533" s="20"/>
      <c r="G533" s="20"/>
    </row>
    <row r="534" spans="1:11" x14ac:dyDescent="0.2">
      <c r="A534" s="21"/>
      <c r="B534" s="23"/>
    </row>
    <row r="535" spans="1:11" x14ac:dyDescent="0.2">
      <c r="A535" s="21"/>
      <c r="B535" s="23"/>
    </row>
    <row r="536" spans="1:11" x14ac:dyDescent="0.2">
      <c r="B536" s="23"/>
    </row>
    <row r="537" spans="1:11" x14ac:dyDescent="0.2">
      <c r="B537" s="23"/>
    </row>
  </sheetData>
  <phoneticPr fontId="16" type="noConversion"/>
  <pageMargins left="0.19685039370078741" right="0.19685039370078741" top="0.19685039370078741" bottom="0.19685039370078741" header="0" footer="0"/>
  <pageSetup paperSize="9" scale="55" orientation="landscape" horizontalDpi="4294967293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baseColWidth="10" defaultRowHeight="13.2" x14ac:dyDescent="0.25"/>
  <sheetData>
    <row r="1" spans="1:2" x14ac:dyDescent="0.25">
      <c r="A1" t="s">
        <v>7</v>
      </c>
      <c r="B1">
        <v>2</v>
      </c>
    </row>
    <row r="2" spans="1:2" x14ac:dyDescent="0.25">
      <c r="A2" t="e">
        <f ca="1">_xll.FitLink(#REF!,14921,11128,1)</f>
        <v>#NAME?</v>
      </c>
    </row>
    <row r="3" spans="1:2" x14ac:dyDescent="0.25">
      <c r="A3" t="e">
        <f ca="1">_xll.FitLink(#REF!,14921,90620,1)</f>
        <v>#NAME?</v>
      </c>
    </row>
  </sheetData>
  <phoneticPr fontId="16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40"/>
  <sheetViews>
    <sheetView topLeftCell="A295" zoomScaleNormal="100" workbookViewId="0">
      <selection activeCell="A2" sqref="A2"/>
    </sheetView>
  </sheetViews>
  <sheetFormatPr baseColWidth="10" defaultColWidth="11.44140625" defaultRowHeight="13.2" x14ac:dyDescent="0.25"/>
  <cols>
    <col min="1" max="2" width="10.6640625" style="71" customWidth="1"/>
    <col min="3" max="3" width="17.88671875" style="74" customWidth="1"/>
    <col min="4" max="9" width="12.6640625" style="71" customWidth="1"/>
    <col min="10" max="12" width="12.6640625" style="34" customWidth="1"/>
    <col min="13" max="16384" width="11.44140625" style="34"/>
  </cols>
  <sheetData>
    <row r="1" spans="1:15" x14ac:dyDescent="0.25">
      <c r="A1" s="31" t="s">
        <v>96</v>
      </c>
      <c r="B1" s="32"/>
      <c r="C1" s="3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13.5" customHeight="1" x14ac:dyDescent="0.25">
      <c r="A2" s="31"/>
      <c r="B2" s="32"/>
      <c r="C2" s="33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x14ac:dyDescent="0.25">
      <c r="A3" s="35" t="str">
        <f>Análisis!A2</f>
        <v xml:space="preserve">Empresa: </v>
      </c>
      <c r="B3" s="6"/>
      <c r="C3" s="6">
        <f>Análisis!C2</f>
        <v>0</v>
      </c>
      <c r="D3" s="36"/>
      <c r="E3" s="37" t="s">
        <v>14</v>
      </c>
      <c r="F3" s="35"/>
      <c r="G3" s="24">
        <f>C17</f>
        <v>0</v>
      </c>
      <c r="H3" s="38">
        <f>G3</f>
        <v>0</v>
      </c>
      <c r="I3" s="24"/>
      <c r="J3" s="6"/>
      <c r="K3" s="6"/>
      <c r="L3" s="6"/>
      <c r="M3" s="6"/>
      <c r="N3" s="6"/>
      <c r="O3" s="6"/>
    </row>
    <row r="4" spans="1:15" x14ac:dyDescent="0.25">
      <c r="A4" s="35" t="str">
        <f>Análisis!A3</f>
        <v xml:space="preserve">Marca: </v>
      </c>
      <c r="B4" s="6"/>
      <c r="C4" s="6">
        <f>Análisis!C3</f>
        <v>0</v>
      </c>
      <c r="D4" s="36"/>
      <c r="E4" s="37" t="s">
        <v>15</v>
      </c>
      <c r="F4" s="35"/>
      <c r="G4" s="24">
        <f>C305</f>
        <v>0</v>
      </c>
      <c r="H4" s="38">
        <f>G4</f>
        <v>0</v>
      </c>
      <c r="I4" s="24"/>
      <c r="J4" s="6"/>
      <c r="K4" s="6"/>
      <c r="L4" s="6"/>
      <c r="M4" s="6"/>
      <c r="N4" s="6"/>
      <c r="O4" s="6"/>
    </row>
    <row r="5" spans="1:15" x14ac:dyDescent="0.25">
      <c r="A5" s="35" t="str">
        <f>Análisis!A4</f>
        <v xml:space="preserve">Ubicación: </v>
      </c>
      <c r="B5" s="6"/>
      <c r="C5" s="6">
        <f>Análisis!C4</f>
        <v>0</v>
      </c>
      <c r="D5" s="36"/>
      <c r="E5" s="35" t="s">
        <v>11</v>
      </c>
      <c r="F5" s="35"/>
      <c r="G5" s="6">
        <f>COUNT(D17:I305)</f>
        <v>1734</v>
      </c>
      <c r="H5" s="6"/>
      <c r="I5" s="6"/>
      <c r="J5" s="6"/>
      <c r="K5" s="6"/>
      <c r="L5" s="6"/>
      <c r="M5" s="6"/>
      <c r="N5" s="6"/>
      <c r="O5" s="6"/>
    </row>
    <row r="6" spans="1:15" x14ac:dyDescent="0.25">
      <c r="A6" s="35" t="str">
        <f>Análisis!A5</f>
        <v>Código de interno:</v>
      </c>
      <c r="B6" s="6"/>
      <c r="C6" s="6">
        <f>Análisis!C5</f>
        <v>0</v>
      </c>
      <c r="D6" s="36"/>
      <c r="E6" s="35" t="s">
        <v>12</v>
      </c>
      <c r="F6" s="35"/>
      <c r="G6" s="39" t="s">
        <v>93</v>
      </c>
      <c r="H6" s="39"/>
      <c r="I6" s="39"/>
      <c r="J6" s="6"/>
      <c r="K6" s="6"/>
      <c r="L6" s="6"/>
      <c r="M6" s="6"/>
      <c r="N6" s="6"/>
      <c r="O6" s="6"/>
    </row>
    <row r="7" spans="1:15" x14ac:dyDescent="0.25">
      <c r="A7" s="35" t="str">
        <f>Análisis!A6</f>
        <v>Rango de temperatura:</v>
      </c>
      <c r="B7" s="6"/>
      <c r="C7" s="40">
        <f>Análisis!C6</f>
        <v>0</v>
      </c>
      <c r="D7" s="36"/>
      <c r="E7" s="41" t="s">
        <v>13</v>
      </c>
      <c r="F7" s="35"/>
      <c r="G7" s="42" t="s">
        <v>94</v>
      </c>
      <c r="H7" s="42"/>
      <c r="I7" s="42"/>
      <c r="J7" s="6"/>
      <c r="K7" s="6"/>
      <c r="L7" s="6"/>
      <c r="M7" s="6"/>
      <c r="N7" s="6"/>
      <c r="O7" s="6"/>
    </row>
    <row r="8" spans="1:15" x14ac:dyDescent="0.25">
      <c r="A8" s="6"/>
      <c r="B8" s="6"/>
      <c r="C8" s="33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43"/>
      <c r="B9" s="44"/>
      <c r="C9" s="45"/>
      <c r="D9" s="46"/>
      <c r="E9" s="47"/>
      <c r="F9" s="31"/>
      <c r="G9" s="6"/>
      <c r="H9" s="6"/>
      <c r="I9" s="6"/>
      <c r="J9" s="6"/>
      <c r="K9" s="6"/>
      <c r="L9" s="6"/>
      <c r="M9" s="6"/>
      <c r="N9" s="6"/>
      <c r="O9" s="6"/>
    </row>
    <row r="10" spans="1:15" x14ac:dyDescent="0.25">
      <c r="A10" s="191" t="s">
        <v>0</v>
      </c>
      <c r="B10" s="192"/>
      <c r="C10" s="193"/>
      <c r="D10" s="48">
        <f>Primarios!C1</f>
        <v>0</v>
      </c>
      <c r="E10" s="48">
        <f>Primarios!D1</f>
        <v>0</v>
      </c>
      <c r="F10" s="48">
        <f>Primarios!E1</f>
        <v>0</v>
      </c>
      <c r="G10" s="48">
        <f>Primarios!F1</f>
        <v>0</v>
      </c>
      <c r="H10" s="48">
        <f>Primarios!G1</f>
        <v>0</v>
      </c>
      <c r="I10" s="48">
        <f>Primarios!H1</f>
        <v>0</v>
      </c>
      <c r="J10" s="48">
        <f>Primarios!I1</f>
        <v>0</v>
      </c>
      <c r="K10" s="48">
        <f>Primarios!J1</f>
        <v>0</v>
      </c>
      <c r="L10" s="48">
        <f>Primarios!K1</f>
        <v>0</v>
      </c>
      <c r="M10" s="6"/>
      <c r="N10" s="6"/>
      <c r="O10" s="6"/>
    </row>
    <row r="11" spans="1:15" x14ac:dyDescent="0.25">
      <c r="A11" s="191" t="s">
        <v>1</v>
      </c>
      <c r="B11" s="192"/>
      <c r="C11" s="193"/>
      <c r="D11" s="48">
        <f>Primarios!C2</f>
        <v>0</v>
      </c>
      <c r="E11" s="48">
        <f>Primarios!D2</f>
        <v>0</v>
      </c>
      <c r="F11" s="48">
        <f>Primarios!E2</f>
        <v>0</v>
      </c>
      <c r="G11" s="48">
        <f>Primarios!F2</f>
        <v>0</v>
      </c>
      <c r="H11" s="48">
        <f>Primarios!G2</f>
        <v>0</v>
      </c>
      <c r="I11" s="48">
        <f>Primarios!H2</f>
        <v>0</v>
      </c>
      <c r="J11" s="48">
        <f>Primarios!I2</f>
        <v>0</v>
      </c>
      <c r="K11" s="48">
        <f>Primarios!J2</f>
        <v>0</v>
      </c>
      <c r="L11" s="48">
        <f>Primarios!K2</f>
        <v>0</v>
      </c>
      <c r="M11" s="6"/>
      <c r="N11" s="6"/>
      <c r="O11" s="6"/>
    </row>
    <row r="12" spans="1:15" x14ac:dyDescent="0.25">
      <c r="A12" s="191" t="s">
        <v>2</v>
      </c>
      <c r="B12" s="192"/>
      <c r="C12" s="193"/>
      <c r="D12" s="48">
        <f>Primarios!C3</f>
        <v>0</v>
      </c>
      <c r="E12" s="48">
        <f>Primarios!D3</f>
        <v>0</v>
      </c>
      <c r="F12" s="48">
        <f>Primarios!E3</f>
        <v>0</v>
      </c>
      <c r="G12" s="48">
        <f>Primarios!F3</f>
        <v>0</v>
      </c>
      <c r="H12" s="48">
        <f>Primarios!G3</f>
        <v>0</v>
      </c>
      <c r="I12" s="48">
        <f>Primarios!H3</f>
        <v>0</v>
      </c>
      <c r="J12" s="48">
        <f>Primarios!I3</f>
        <v>0</v>
      </c>
      <c r="K12" s="48">
        <f>Primarios!J3</f>
        <v>0</v>
      </c>
      <c r="L12" s="48">
        <f>Primarios!K3</f>
        <v>0</v>
      </c>
      <c r="M12" s="6"/>
      <c r="N12" s="6"/>
      <c r="O12" s="6"/>
    </row>
    <row r="13" spans="1:15" x14ac:dyDescent="0.25">
      <c r="A13" s="191" t="s">
        <v>6</v>
      </c>
      <c r="B13" s="192"/>
      <c r="C13" s="193"/>
      <c r="D13" s="48">
        <f>Primarios!C4</f>
        <v>0</v>
      </c>
      <c r="E13" s="48">
        <f>Primarios!D4</f>
        <v>0</v>
      </c>
      <c r="F13" s="48">
        <f>Primarios!E4</f>
        <v>0</v>
      </c>
      <c r="G13" s="48">
        <f>Primarios!F4</f>
        <v>0</v>
      </c>
      <c r="H13" s="48">
        <f>Primarios!G4</f>
        <v>0</v>
      </c>
      <c r="I13" s="48">
        <f>Primarios!H4</f>
        <v>0</v>
      </c>
      <c r="J13" s="48">
        <f>Primarios!I4</f>
        <v>0</v>
      </c>
      <c r="K13" s="48">
        <f>Primarios!J4</f>
        <v>0</v>
      </c>
      <c r="L13" s="48">
        <f>Primarios!K4</f>
        <v>0</v>
      </c>
      <c r="M13" s="6"/>
      <c r="N13" s="6"/>
      <c r="O13" s="6"/>
    </row>
    <row r="14" spans="1:15" x14ac:dyDescent="0.25">
      <c r="A14" s="194" t="s">
        <v>10</v>
      </c>
      <c r="B14" s="195"/>
      <c r="C14" s="49"/>
      <c r="D14" s="48" t="str">
        <f>Primarios!C5</f>
        <v>Posición 1</v>
      </c>
      <c r="E14" s="48" t="str">
        <f>Primarios!D5</f>
        <v>Posición 2</v>
      </c>
      <c r="F14" s="48" t="str">
        <f>Primarios!E5</f>
        <v>Posición 3</v>
      </c>
      <c r="G14" s="48" t="str">
        <f>Primarios!F5</f>
        <v>Posición 4</v>
      </c>
      <c r="H14" s="48" t="str">
        <f>Primarios!G5</f>
        <v>Posición 5</v>
      </c>
      <c r="I14" s="48" t="str">
        <f>Primarios!H5</f>
        <v>Posición 6</v>
      </c>
      <c r="J14" s="48" t="str">
        <f>Primarios!I5</f>
        <v>Posición 7</v>
      </c>
      <c r="K14" s="48" t="str">
        <f>Primarios!J5</f>
        <v>Posición 8</v>
      </c>
      <c r="L14" s="48" t="str">
        <f>Primarios!K5</f>
        <v>Posición 9</v>
      </c>
      <c r="M14" s="6"/>
      <c r="N14" s="6"/>
      <c r="O14" s="6"/>
    </row>
    <row r="15" spans="1:15" x14ac:dyDescent="0.25">
      <c r="A15" s="189" t="s">
        <v>66</v>
      </c>
      <c r="B15" s="166" t="s">
        <v>3</v>
      </c>
      <c r="C15" s="182" t="s">
        <v>8</v>
      </c>
      <c r="D15" s="50" t="str">
        <f>Primarios!C6</f>
        <v>Temperature (°C)</v>
      </c>
      <c r="E15" s="50" t="str">
        <f>Primarios!D6</f>
        <v>Temperature (°C)</v>
      </c>
      <c r="F15" s="50" t="str">
        <f>Primarios!E6</f>
        <v>Temperature (°C)</v>
      </c>
      <c r="G15" s="50" t="str">
        <f>Primarios!F6</f>
        <v>Temperature (°C)</v>
      </c>
      <c r="H15" s="50" t="str">
        <f>Primarios!G6</f>
        <v>Temperature (°C)</v>
      </c>
      <c r="I15" s="50" t="str">
        <f>Primarios!H6</f>
        <v>Temperature (°C)</v>
      </c>
      <c r="J15" s="50" t="str">
        <f>Primarios!I6</f>
        <v>Temperature (°C)</v>
      </c>
      <c r="K15" s="50" t="str">
        <f>Primarios!J6</f>
        <v>Temperature (°C)</v>
      </c>
      <c r="L15" s="50" t="str">
        <f>Primarios!K6</f>
        <v>Temperature (°C)</v>
      </c>
      <c r="M15" s="6"/>
      <c r="N15" s="6"/>
      <c r="O15" s="6"/>
    </row>
    <row r="16" spans="1:15" x14ac:dyDescent="0.25">
      <c r="A16" s="190"/>
      <c r="B16" s="167"/>
      <c r="C16" s="183"/>
      <c r="D16" s="50"/>
      <c r="E16" s="50"/>
      <c r="F16" s="50"/>
      <c r="G16" s="50"/>
      <c r="H16" s="50"/>
      <c r="I16" s="50"/>
      <c r="J16" s="50"/>
      <c r="K16" s="50"/>
      <c r="L16" s="50"/>
      <c r="M16" s="6"/>
      <c r="N16" s="6"/>
      <c r="O16" s="6"/>
    </row>
    <row r="17" spans="1:15" x14ac:dyDescent="0.25">
      <c r="A17" s="51">
        <v>0</v>
      </c>
      <c r="B17" s="52">
        <f>Primarios!A7</f>
        <v>1</v>
      </c>
      <c r="C17" s="1">
        <f>Primarios!B7</f>
        <v>0</v>
      </c>
      <c r="D17" s="17">
        <f>Primarios!C7</f>
        <v>0</v>
      </c>
      <c r="E17" s="17">
        <f>Primarios!D7</f>
        <v>0</v>
      </c>
      <c r="F17" s="17">
        <f>Primarios!E7</f>
        <v>0</v>
      </c>
      <c r="G17" s="17">
        <f>Primarios!F7</f>
        <v>0</v>
      </c>
      <c r="H17" s="17">
        <f>Primarios!G7</f>
        <v>0</v>
      </c>
      <c r="I17" s="17">
        <f>Primarios!H7</f>
        <v>0</v>
      </c>
      <c r="J17" s="17">
        <f>Primarios!I7</f>
        <v>0</v>
      </c>
      <c r="K17" s="17">
        <f>Primarios!J7</f>
        <v>0</v>
      </c>
      <c r="L17" s="17">
        <f>Primarios!K7</f>
        <v>0</v>
      </c>
      <c r="M17" s="6"/>
      <c r="N17" s="6"/>
      <c r="O17" s="6"/>
    </row>
    <row r="18" spans="1:15" x14ac:dyDescent="0.25">
      <c r="A18" s="53">
        <v>3.472222222222222E-3</v>
      </c>
      <c r="B18" s="52">
        <f>Primarios!A8</f>
        <v>2</v>
      </c>
      <c r="C18" s="1">
        <f>Primarios!B8</f>
        <v>0</v>
      </c>
      <c r="D18" s="17">
        <f>Primarios!C8</f>
        <v>0</v>
      </c>
      <c r="E18" s="17">
        <f>Primarios!D8</f>
        <v>0</v>
      </c>
      <c r="F18" s="17">
        <f>Primarios!E8</f>
        <v>0</v>
      </c>
      <c r="G18" s="17">
        <f>Primarios!F8</f>
        <v>0</v>
      </c>
      <c r="H18" s="17">
        <f>Primarios!G8</f>
        <v>0</v>
      </c>
      <c r="I18" s="17">
        <f>Primarios!H8</f>
        <v>0</v>
      </c>
      <c r="J18" s="17">
        <f>Primarios!I8</f>
        <v>0</v>
      </c>
      <c r="K18" s="17">
        <f>Primarios!J8</f>
        <v>0</v>
      </c>
      <c r="L18" s="17">
        <f>Primarios!K8</f>
        <v>0</v>
      </c>
      <c r="M18" s="6"/>
      <c r="N18" s="6"/>
      <c r="O18" s="6"/>
    </row>
    <row r="19" spans="1:15" x14ac:dyDescent="0.25">
      <c r="A19" s="51">
        <v>6.9444444444444397E-3</v>
      </c>
      <c r="B19" s="52">
        <f>Primarios!A9</f>
        <v>3</v>
      </c>
      <c r="C19" s="1">
        <f>Primarios!B9</f>
        <v>0</v>
      </c>
      <c r="D19" s="17">
        <f>Primarios!C9</f>
        <v>0</v>
      </c>
      <c r="E19" s="17">
        <f>Primarios!D9</f>
        <v>0</v>
      </c>
      <c r="F19" s="17">
        <f>Primarios!E9</f>
        <v>0</v>
      </c>
      <c r="G19" s="17">
        <f>Primarios!F9</f>
        <v>0</v>
      </c>
      <c r="H19" s="17">
        <f>Primarios!G9</f>
        <v>0</v>
      </c>
      <c r="I19" s="17">
        <f>Primarios!H9</f>
        <v>0</v>
      </c>
      <c r="J19" s="17">
        <f>Primarios!I9</f>
        <v>0</v>
      </c>
      <c r="K19" s="17">
        <f>Primarios!J9</f>
        <v>0</v>
      </c>
      <c r="L19" s="17">
        <f>Primarios!K9</f>
        <v>0</v>
      </c>
      <c r="M19" s="6"/>
      <c r="N19" s="6"/>
      <c r="O19" s="6"/>
    </row>
    <row r="20" spans="1:15" x14ac:dyDescent="0.25">
      <c r="A20" s="53">
        <v>1.0416666666666701E-2</v>
      </c>
      <c r="B20" s="52">
        <f>Primarios!A10</f>
        <v>4</v>
      </c>
      <c r="C20" s="1">
        <f>Primarios!B10</f>
        <v>0</v>
      </c>
      <c r="D20" s="17">
        <f>Primarios!C10</f>
        <v>0</v>
      </c>
      <c r="E20" s="17">
        <f>Primarios!D10</f>
        <v>0</v>
      </c>
      <c r="F20" s="17">
        <f>Primarios!E10</f>
        <v>0</v>
      </c>
      <c r="G20" s="17">
        <f>Primarios!F10</f>
        <v>0</v>
      </c>
      <c r="H20" s="17">
        <f>Primarios!G10</f>
        <v>0</v>
      </c>
      <c r="I20" s="17">
        <f>Primarios!H10</f>
        <v>0</v>
      </c>
      <c r="J20" s="17">
        <f>Primarios!I10</f>
        <v>0</v>
      </c>
      <c r="K20" s="17">
        <f>Primarios!J10</f>
        <v>0</v>
      </c>
      <c r="L20" s="17">
        <f>Primarios!K10</f>
        <v>0</v>
      </c>
      <c r="M20" s="6"/>
      <c r="N20" s="6"/>
      <c r="O20" s="6"/>
    </row>
    <row r="21" spans="1:15" x14ac:dyDescent="0.25">
      <c r="A21" s="51">
        <v>1.38888888888889E-2</v>
      </c>
      <c r="B21" s="52">
        <f>Primarios!A11</f>
        <v>5</v>
      </c>
      <c r="C21" s="1">
        <f>Primarios!B11</f>
        <v>0</v>
      </c>
      <c r="D21" s="17">
        <f>Primarios!C11</f>
        <v>0</v>
      </c>
      <c r="E21" s="17">
        <f>Primarios!D11</f>
        <v>0</v>
      </c>
      <c r="F21" s="17">
        <f>Primarios!E11</f>
        <v>0</v>
      </c>
      <c r="G21" s="17">
        <f>Primarios!F11</f>
        <v>0</v>
      </c>
      <c r="H21" s="17">
        <f>Primarios!G11</f>
        <v>0</v>
      </c>
      <c r="I21" s="17">
        <f>Primarios!H11</f>
        <v>0</v>
      </c>
      <c r="J21" s="17">
        <f>Primarios!I11</f>
        <v>0</v>
      </c>
      <c r="K21" s="17">
        <f>Primarios!J11</f>
        <v>0</v>
      </c>
      <c r="L21" s="17">
        <f>Primarios!K11</f>
        <v>0</v>
      </c>
      <c r="M21" s="6"/>
      <c r="N21" s="6"/>
      <c r="O21" s="6"/>
    </row>
    <row r="22" spans="1:15" x14ac:dyDescent="0.25">
      <c r="A22" s="53">
        <v>1.7361111111111101E-2</v>
      </c>
      <c r="B22" s="52">
        <f>Primarios!A12</f>
        <v>6</v>
      </c>
      <c r="C22" s="1">
        <f>Primarios!B12</f>
        <v>0</v>
      </c>
      <c r="D22" s="17">
        <f>Primarios!C12</f>
        <v>0</v>
      </c>
      <c r="E22" s="17">
        <f>Primarios!D12</f>
        <v>0</v>
      </c>
      <c r="F22" s="17">
        <f>Primarios!E12</f>
        <v>0</v>
      </c>
      <c r="G22" s="17">
        <f>Primarios!F12</f>
        <v>0</v>
      </c>
      <c r="H22" s="17">
        <f>Primarios!G12</f>
        <v>0</v>
      </c>
      <c r="I22" s="17">
        <f>Primarios!H12</f>
        <v>0</v>
      </c>
      <c r="J22" s="17">
        <f>Primarios!I12</f>
        <v>0</v>
      </c>
      <c r="K22" s="17">
        <f>Primarios!J12</f>
        <v>0</v>
      </c>
      <c r="L22" s="17">
        <f>Primarios!K12</f>
        <v>0</v>
      </c>
      <c r="M22" s="6"/>
      <c r="N22" s="6"/>
      <c r="O22" s="6"/>
    </row>
    <row r="23" spans="1:15" x14ac:dyDescent="0.25">
      <c r="A23" s="51">
        <v>2.0833333333333301E-2</v>
      </c>
      <c r="B23" s="52">
        <f>Primarios!A13</f>
        <v>7</v>
      </c>
      <c r="C23" s="1">
        <f>Primarios!B13</f>
        <v>0</v>
      </c>
      <c r="D23" s="17">
        <f>Primarios!C13</f>
        <v>0</v>
      </c>
      <c r="E23" s="17">
        <f>Primarios!D13</f>
        <v>0</v>
      </c>
      <c r="F23" s="17">
        <f>Primarios!E13</f>
        <v>0</v>
      </c>
      <c r="G23" s="17">
        <f>Primarios!F13</f>
        <v>0</v>
      </c>
      <c r="H23" s="17">
        <f>Primarios!G13</f>
        <v>0</v>
      </c>
      <c r="I23" s="17">
        <f>Primarios!H13</f>
        <v>0</v>
      </c>
      <c r="J23" s="17">
        <f>Primarios!I13</f>
        <v>0</v>
      </c>
      <c r="K23" s="17">
        <f>Primarios!J13</f>
        <v>0</v>
      </c>
      <c r="L23" s="17">
        <f>Primarios!K13</f>
        <v>0</v>
      </c>
      <c r="M23" s="6"/>
      <c r="N23" s="6"/>
      <c r="O23" s="6"/>
    </row>
    <row r="24" spans="1:15" x14ac:dyDescent="0.25">
      <c r="A24" s="53">
        <v>2.4305555555555601E-2</v>
      </c>
      <c r="B24" s="52">
        <f>Primarios!A14</f>
        <v>8</v>
      </c>
      <c r="C24" s="1">
        <f>Primarios!B14</f>
        <v>0</v>
      </c>
      <c r="D24" s="17">
        <f>Primarios!C14</f>
        <v>0</v>
      </c>
      <c r="E24" s="17">
        <f>Primarios!D14</f>
        <v>0</v>
      </c>
      <c r="F24" s="17">
        <f>Primarios!E14</f>
        <v>0</v>
      </c>
      <c r="G24" s="17">
        <f>Primarios!F14</f>
        <v>0</v>
      </c>
      <c r="H24" s="17">
        <f>Primarios!G14</f>
        <v>0</v>
      </c>
      <c r="I24" s="17">
        <f>Primarios!H14</f>
        <v>0</v>
      </c>
      <c r="J24" s="17">
        <f>Primarios!I14</f>
        <v>0</v>
      </c>
      <c r="K24" s="17">
        <f>Primarios!J14</f>
        <v>0</v>
      </c>
      <c r="L24" s="17">
        <f>Primarios!K14</f>
        <v>0</v>
      </c>
      <c r="M24" s="6"/>
      <c r="N24" s="6"/>
      <c r="O24" s="6"/>
    </row>
    <row r="25" spans="1:15" x14ac:dyDescent="0.25">
      <c r="A25" s="51">
        <v>2.7777777777777801E-2</v>
      </c>
      <c r="B25" s="52">
        <f>Primarios!A15</f>
        <v>9</v>
      </c>
      <c r="C25" s="1">
        <f>Primarios!B15</f>
        <v>0</v>
      </c>
      <c r="D25" s="17">
        <f>Primarios!C15</f>
        <v>0</v>
      </c>
      <c r="E25" s="17">
        <f>Primarios!D15</f>
        <v>0</v>
      </c>
      <c r="F25" s="17">
        <f>Primarios!E15</f>
        <v>0</v>
      </c>
      <c r="G25" s="17">
        <f>Primarios!F15</f>
        <v>0</v>
      </c>
      <c r="H25" s="17">
        <f>Primarios!G15</f>
        <v>0</v>
      </c>
      <c r="I25" s="17">
        <f>Primarios!H15</f>
        <v>0</v>
      </c>
      <c r="J25" s="17">
        <f>Primarios!I15</f>
        <v>0</v>
      </c>
      <c r="K25" s="17">
        <f>Primarios!J15</f>
        <v>0</v>
      </c>
      <c r="L25" s="17">
        <f>Primarios!K15</f>
        <v>0</v>
      </c>
      <c r="M25" s="6"/>
      <c r="N25" s="6"/>
      <c r="O25" s="6"/>
    </row>
    <row r="26" spans="1:15" x14ac:dyDescent="0.25">
      <c r="A26" s="53">
        <v>3.125E-2</v>
      </c>
      <c r="B26" s="52">
        <f>Primarios!A16</f>
        <v>10</v>
      </c>
      <c r="C26" s="1">
        <f>Primarios!B16</f>
        <v>0</v>
      </c>
      <c r="D26" s="17">
        <f>Primarios!C16</f>
        <v>0</v>
      </c>
      <c r="E26" s="17">
        <f>Primarios!D16</f>
        <v>0</v>
      </c>
      <c r="F26" s="17">
        <f>Primarios!E16</f>
        <v>0</v>
      </c>
      <c r="G26" s="17">
        <f>Primarios!F16</f>
        <v>0</v>
      </c>
      <c r="H26" s="17">
        <f>Primarios!G16</f>
        <v>0</v>
      </c>
      <c r="I26" s="17">
        <f>Primarios!H16</f>
        <v>0</v>
      </c>
      <c r="J26" s="17">
        <f>Primarios!I16</f>
        <v>0</v>
      </c>
      <c r="K26" s="17">
        <f>Primarios!J16</f>
        <v>0</v>
      </c>
      <c r="L26" s="17">
        <f>Primarios!K16</f>
        <v>0</v>
      </c>
      <c r="M26" s="6"/>
      <c r="N26" s="6"/>
      <c r="O26" s="6"/>
    </row>
    <row r="27" spans="1:15" x14ac:dyDescent="0.25">
      <c r="A27" s="51">
        <v>3.4722222222222203E-2</v>
      </c>
      <c r="B27" s="52">
        <f>Primarios!A17</f>
        <v>11</v>
      </c>
      <c r="C27" s="1">
        <f>Primarios!B17</f>
        <v>0</v>
      </c>
      <c r="D27" s="17">
        <f>Primarios!C17</f>
        <v>0</v>
      </c>
      <c r="E27" s="17">
        <f>Primarios!D17</f>
        <v>0</v>
      </c>
      <c r="F27" s="17">
        <f>Primarios!E17</f>
        <v>0</v>
      </c>
      <c r="G27" s="17">
        <f>Primarios!F17</f>
        <v>0</v>
      </c>
      <c r="H27" s="17">
        <f>Primarios!G17</f>
        <v>0</v>
      </c>
      <c r="I27" s="17">
        <f>Primarios!H17</f>
        <v>0</v>
      </c>
      <c r="J27" s="17">
        <f>Primarios!I17</f>
        <v>0</v>
      </c>
      <c r="K27" s="17">
        <f>Primarios!J17</f>
        <v>0</v>
      </c>
      <c r="L27" s="17">
        <f>Primarios!K17</f>
        <v>0</v>
      </c>
      <c r="M27" s="6"/>
      <c r="N27" s="6"/>
      <c r="O27" s="6"/>
    </row>
    <row r="28" spans="1:15" x14ac:dyDescent="0.25">
      <c r="A28" s="53">
        <v>3.8194444444444399E-2</v>
      </c>
      <c r="B28" s="52">
        <f>Primarios!A18</f>
        <v>12</v>
      </c>
      <c r="C28" s="1">
        <f>Primarios!B18</f>
        <v>0</v>
      </c>
      <c r="D28" s="17">
        <f>Primarios!C18</f>
        <v>0</v>
      </c>
      <c r="E28" s="17">
        <f>Primarios!D18</f>
        <v>0</v>
      </c>
      <c r="F28" s="17">
        <f>Primarios!E18</f>
        <v>0</v>
      </c>
      <c r="G28" s="17">
        <f>Primarios!F18</f>
        <v>0</v>
      </c>
      <c r="H28" s="17">
        <f>Primarios!G18</f>
        <v>0</v>
      </c>
      <c r="I28" s="17">
        <f>Primarios!H18</f>
        <v>0</v>
      </c>
      <c r="J28" s="17">
        <f>Primarios!I18</f>
        <v>0</v>
      </c>
      <c r="K28" s="17">
        <f>Primarios!J18</f>
        <v>0</v>
      </c>
      <c r="L28" s="17">
        <f>Primarios!K18</f>
        <v>0</v>
      </c>
      <c r="M28" s="6"/>
      <c r="N28" s="6"/>
      <c r="O28" s="6"/>
    </row>
    <row r="29" spans="1:15" x14ac:dyDescent="0.25">
      <c r="A29" s="51">
        <v>4.1666666666666699E-2</v>
      </c>
      <c r="B29" s="52">
        <f>Primarios!A19</f>
        <v>13</v>
      </c>
      <c r="C29" s="1">
        <f>Primarios!B19</f>
        <v>0</v>
      </c>
      <c r="D29" s="17">
        <f>Primarios!C19</f>
        <v>0</v>
      </c>
      <c r="E29" s="17">
        <f>Primarios!D19</f>
        <v>0</v>
      </c>
      <c r="F29" s="17">
        <f>Primarios!E19</f>
        <v>0</v>
      </c>
      <c r="G29" s="17">
        <f>Primarios!F19</f>
        <v>0</v>
      </c>
      <c r="H29" s="17">
        <f>Primarios!G19</f>
        <v>0</v>
      </c>
      <c r="I29" s="17">
        <f>Primarios!H19</f>
        <v>0</v>
      </c>
      <c r="J29" s="17">
        <f>Primarios!I19</f>
        <v>0</v>
      </c>
      <c r="K29" s="17">
        <f>Primarios!J19</f>
        <v>0</v>
      </c>
      <c r="L29" s="17">
        <f>Primarios!K19</f>
        <v>0</v>
      </c>
      <c r="M29" s="6"/>
      <c r="N29" s="6"/>
      <c r="O29" s="6"/>
    </row>
    <row r="30" spans="1:15" x14ac:dyDescent="0.25">
      <c r="A30" s="53">
        <v>4.5138888888888902E-2</v>
      </c>
      <c r="B30" s="52">
        <f>Primarios!A20</f>
        <v>14</v>
      </c>
      <c r="C30" s="1">
        <f>Primarios!B20</f>
        <v>0</v>
      </c>
      <c r="D30" s="17">
        <f>Primarios!C20</f>
        <v>0</v>
      </c>
      <c r="E30" s="17">
        <f>Primarios!D20</f>
        <v>0</v>
      </c>
      <c r="F30" s="17">
        <f>Primarios!E20</f>
        <v>0</v>
      </c>
      <c r="G30" s="17">
        <f>Primarios!F20</f>
        <v>0</v>
      </c>
      <c r="H30" s="17">
        <f>Primarios!G20</f>
        <v>0</v>
      </c>
      <c r="I30" s="17">
        <f>Primarios!H20</f>
        <v>0</v>
      </c>
      <c r="J30" s="17">
        <f>Primarios!I20</f>
        <v>0</v>
      </c>
      <c r="K30" s="17">
        <f>Primarios!J20</f>
        <v>0</v>
      </c>
      <c r="L30" s="17">
        <f>Primarios!K20</f>
        <v>0</v>
      </c>
      <c r="M30" s="6"/>
      <c r="N30" s="6"/>
      <c r="O30" s="6"/>
    </row>
    <row r="31" spans="1:15" x14ac:dyDescent="0.25">
      <c r="A31" s="51">
        <v>4.8611111111111098E-2</v>
      </c>
      <c r="B31" s="52">
        <f>Primarios!A21</f>
        <v>15</v>
      </c>
      <c r="C31" s="1">
        <f>Primarios!B21</f>
        <v>0</v>
      </c>
      <c r="D31" s="17">
        <f>Primarios!C21</f>
        <v>0</v>
      </c>
      <c r="E31" s="17">
        <f>Primarios!D21</f>
        <v>0</v>
      </c>
      <c r="F31" s="17">
        <f>Primarios!E21</f>
        <v>0</v>
      </c>
      <c r="G31" s="17">
        <f>Primarios!F21</f>
        <v>0</v>
      </c>
      <c r="H31" s="17">
        <f>Primarios!G21</f>
        <v>0</v>
      </c>
      <c r="I31" s="17">
        <f>Primarios!H21</f>
        <v>0</v>
      </c>
      <c r="J31" s="17">
        <f>Primarios!I21</f>
        <v>0</v>
      </c>
      <c r="K31" s="17">
        <f>Primarios!J21</f>
        <v>0</v>
      </c>
      <c r="L31" s="17">
        <f>Primarios!K21</f>
        <v>0</v>
      </c>
      <c r="M31" s="6"/>
      <c r="N31" s="6"/>
      <c r="O31" s="6"/>
    </row>
    <row r="32" spans="1:15" x14ac:dyDescent="0.25">
      <c r="A32" s="53">
        <v>5.2083333333333301E-2</v>
      </c>
      <c r="B32" s="52">
        <f>Primarios!A22</f>
        <v>16</v>
      </c>
      <c r="C32" s="1">
        <f>Primarios!B22</f>
        <v>0</v>
      </c>
      <c r="D32" s="17">
        <f>Primarios!C22</f>
        <v>0</v>
      </c>
      <c r="E32" s="17">
        <f>Primarios!D22</f>
        <v>0</v>
      </c>
      <c r="F32" s="17">
        <f>Primarios!E22</f>
        <v>0</v>
      </c>
      <c r="G32" s="17">
        <f>Primarios!F22</f>
        <v>0</v>
      </c>
      <c r="H32" s="17">
        <f>Primarios!G22</f>
        <v>0</v>
      </c>
      <c r="I32" s="17">
        <f>Primarios!H22</f>
        <v>0</v>
      </c>
      <c r="J32" s="17">
        <f>Primarios!I22</f>
        <v>0</v>
      </c>
      <c r="K32" s="17">
        <f>Primarios!J22</f>
        <v>0</v>
      </c>
      <c r="L32" s="17">
        <f>Primarios!K22</f>
        <v>0</v>
      </c>
      <c r="M32" s="6"/>
      <c r="N32" s="6"/>
      <c r="O32" s="6"/>
    </row>
    <row r="33" spans="1:15" x14ac:dyDescent="0.25">
      <c r="A33" s="51">
        <v>5.5555555555555601E-2</v>
      </c>
      <c r="B33" s="52">
        <f>Primarios!A23</f>
        <v>17</v>
      </c>
      <c r="C33" s="1">
        <f>Primarios!B23</f>
        <v>0</v>
      </c>
      <c r="D33" s="17">
        <f>Primarios!C23</f>
        <v>0</v>
      </c>
      <c r="E33" s="17">
        <f>Primarios!D23</f>
        <v>0</v>
      </c>
      <c r="F33" s="17">
        <f>Primarios!E23</f>
        <v>0</v>
      </c>
      <c r="G33" s="17">
        <f>Primarios!F23</f>
        <v>0</v>
      </c>
      <c r="H33" s="17">
        <f>Primarios!G23</f>
        <v>0</v>
      </c>
      <c r="I33" s="17">
        <f>Primarios!H23</f>
        <v>0</v>
      </c>
      <c r="J33" s="17">
        <f>Primarios!I23</f>
        <v>0</v>
      </c>
      <c r="K33" s="17">
        <f>Primarios!J23</f>
        <v>0</v>
      </c>
      <c r="L33" s="17">
        <f>Primarios!K23</f>
        <v>0</v>
      </c>
      <c r="M33" s="6"/>
      <c r="N33" s="6"/>
      <c r="O33" s="6"/>
    </row>
    <row r="34" spans="1:15" x14ac:dyDescent="0.25">
      <c r="A34" s="53">
        <v>5.9027777777777797E-2</v>
      </c>
      <c r="B34" s="52">
        <f>Primarios!A24</f>
        <v>18</v>
      </c>
      <c r="C34" s="1">
        <f>Primarios!B24</f>
        <v>0</v>
      </c>
      <c r="D34" s="17">
        <f>Primarios!C24</f>
        <v>0</v>
      </c>
      <c r="E34" s="17">
        <f>Primarios!D24</f>
        <v>0</v>
      </c>
      <c r="F34" s="17">
        <f>Primarios!E24</f>
        <v>0</v>
      </c>
      <c r="G34" s="17">
        <f>Primarios!F24</f>
        <v>0</v>
      </c>
      <c r="H34" s="17">
        <f>Primarios!G24</f>
        <v>0</v>
      </c>
      <c r="I34" s="17">
        <f>Primarios!H24</f>
        <v>0</v>
      </c>
      <c r="J34" s="17">
        <f>Primarios!I24</f>
        <v>0</v>
      </c>
      <c r="K34" s="17">
        <f>Primarios!J24</f>
        <v>0</v>
      </c>
      <c r="L34" s="17">
        <f>Primarios!K24</f>
        <v>0</v>
      </c>
      <c r="M34" s="6"/>
      <c r="N34" s="6"/>
      <c r="O34" s="6"/>
    </row>
    <row r="35" spans="1:15" x14ac:dyDescent="0.25">
      <c r="A35" s="51">
        <v>6.25E-2</v>
      </c>
      <c r="B35" s="52">
        <f>Primarios!A25</f>
        <v>19</v>
      </c>
      <c r="C35" s="1">
        <f>Primarios!B25</f>
        <v>0</v>
      </c>
      <c r="D35" s="17">
        <f>Primarios!C25</f>
        <v>0</v>
      </c>
      <c r="E35" s="17">
        <f>Primarios!D25</f>
        <v>0</v>
      </c>
      <c r="F35" s="17">
        <f>Primarios!E25</f>
        <v>0</v>
      </c>
      <c r="G35" s="17">
        <f>Primarios!F25</f>
        <v>0</v>
      </c>
      <c r="H35" s="17">
        <f>Primarios!G25</f>
        <v>0</v>
      </c>
      <c r="I35" s="17">
        <f>Primarios!H25</f>
        <v>0</v>
      </c>
      <c r="J35" s="17">
        <f>Primarios!I25</f>
        <v>0</v>
      </c>
      <c r="K35" s="17">
        <f>Primarios!J25</f>
        <v>0</v>
      </c>
      <c r="L35" s="17">
        <f>Primarios!K25</f>
        <v>0</v>
      </c>
      <c r="M35" s="6"/>
      <c r="N35" s="6"/>
      <c r="O35" s="6"/>
    </row>
    <row r="36" spans="1:15" x14ac:dyDescent="0.25">
      <c r="A36" s="53">
        <v>6.5972222222222196E-2</v>
      </c>
      <c r="B36" s="52">
        <f>Primarios!A26</f>
        <v>20</v>
      </c>
      <c r="C36" s="1">
        <f>Primarios!B26</f>
        <v>0</v>
      </c>
      <c r="D36" s="17">
        <f>Primarios!C26</f>
        <v>0</v>
      </c>
      <c r="E36" s="17">
        <f>Primarios!D26</f>
        <v>0</v>
      </c>
      <c r="F36" s="17">
        <f>Primarios!E26</f>
        <v>0</v>
      </c>
      <c r="G36" s="17">
        <f>Primarios!F26</f>
        <v>0</v>
      </c>
      <c r="H36" s="17">
        <f>Primarios!G26</f>
        <v>0</v>
      </c>
      <c r="I36" s="17">
        <f>Primarios!H26</f>
        <v>0</v>
      </c>
      <c r="J36" s="17">
        <f>Primarios!I26</f>
        <v>0</v>
      </c>
      <c r="K36" s="17">
        <f>Primarios!J26</f>
        <v>0</v>
      </c>
      <c r="L36" s="17">
        <f>Primarios!K26</f>
        <v>0</v>
      </c>
      <c r="M36" s="6"/>
      <c r="N36" s="6"/>
      <c r="O36" s="6"/>
    </row>
    <row r="37" spans="1:15" x14ac:dyDescent="0.25">
      <c r="A37" s="51">
        <v>6.9444444444444406E-2</v>
      </c>
      <c r="B37" s="52">
        <f>Primarios!A27</f>
        <v>21</v>
      </c>
      <c r="C37" s="1">
        <f>Primarios!B27</f>
        <v>0</v>
      </c>
      <c r="D37" s="17">
        <f>Primarios!C27</f>
        <v>0</v>
      </c>
      <c r="E37" s="17">
        <f>Primarios!D27</f>
        <v>0</v>
      </c>
      <c r="F37" s="17">
        <f>Primarios!E27</f>
        <v>0</v>
      </c>
      <c r="G37" s="17">
        <f>Primarios!F27</f>
        <v>0</v>
      </c>
      <c r="H37" s="17">
        <f>Primarios!G27</f>
        <v>0</v>
      </c>
      <c r="I37" s="17">
        <f>Primarios!H27</f>
        <v>0</v>
      </c>
      <c r="J37" s="17">
        <f>Primarios!I27</f>
        <v>0</v>
      </c>
      <c r="K37" s="17">
        <f>Primarios!J27</f>
        <v>0</v>
      </c>
      <c r="L37" s="17">
        <f>Primarios!K27</f>
        <v>0</v>
      </c>
      <c r="M37" s="6"/>
      <c r="N37" s="6"/>
      <c r="O37" s="6"/>
    </row>
    <row r="38" spans="1:15" x14ac:dyDescent="0.25">
      <c r="A38" s="53">
        <v>7.2916666666666699E-2</v>
      </c>
      <c r="B38" s="52">
        <f>Primarios!A28</f>
        <v>22</v>
      </c>
      <c r="C38" s="1">
        <f>Primarios!B28</f>
        <v>0</v>
      </c>
      <c r="D38" s="17">
        <f>Primarios!C28</f>
        <v>0</v>
      </c>
      <c r="E38" s="17">
        <f>Primarios!D28</f>
        <v>0</v>
      </c>
      <c r="F38" s="17">
        <f>Primarios!E28</f>
        <v>0</v>
      </c>
      <c r="G38" s="17">
        <f>Primarios!F28</f>
        <v>0</v>
      </c>
      <c r="H38" s="17">
        <f>Primarios!G28</f>
        <v>0</v>
      </c>
      <c r="I38" s="17">
        <f>Primarios!H28</f>
        <v>0</v>
      </c>
      <c r="J38" s="17">
        <f>Primarios!I28</f>
        <v>0</v>
      </c>
      <c r="K38" s="17">
        <f>Primarios!J28</f>
        <v>0</v>
      </c>
      <c r="L38" s="17">
        <f>Primarios!K28</f>
        <v>0</v>
      </c>
      <c r="M38" s="6"/>
      <c r="N38" s="6"/>
      <c r="O38" s="6"/>
    </row>
    <row r="39" spans="1:15" x14ac:dyDescent="0.25">
      <c r="A39" s="51">
        <v>7.6388888888888895E-2</v>
      </c>
      <c r="B39" s="52">
        <f>Primarios!A29</f>
        <v>23</v>
      </c>
      <c r="C39" s="1">
        <f>Primarios!B29</f>
        <v>0</v>
      </c>
      <c r="D39" s="17">
        <f>Primarios!C29</f>
        <v>0</v>
      </c>
      <c r="E39" s="17">
        <f>Primarios!D29</f>
        <v>0</v>
      </c>
      <c r="F39" s="17">
        <f>Primarios!E29</f>
        <v>0</v>
      </c>
      <c r="G39" s="17">
        <f>Primarios!F29</f>
        <v>0</v>
      </c>
      <c r="H39" s="17">
        <f>Primarios!G29</f>
        <v>0</v>
      </c>
      <c r="I39" s="17">
        <f>Primarios!H29</f>
        <v>0</v>
      </c>
      <c r="J39" s="17">
        <f>Primarios!I29</f>
        <v>0</v>
      </c>
      <c r="K39" s="17">
        <f>Primarios!J29</f>
        <v>0</v>
      </c>
      <c r="L39" s="17">
        <f>Primarios!K29</f>
        <v>0</v>
      </c>
      <c r="M39" s="6"/>
      <c r="N39" s="6"/>
      <c r="O39" s="6"/>
    </row>
    <row r="40" spans="1:15" x14ac:dyDescent="0.25">
      <c r="A40" s="53">
        <v>7.9861111111111105E-2</v>
      </c>
      <c r="B40" s="52">
        <f>Primarios!A30</f>
        <v>24</v>
      </c>
      <c r="C40" s="1">
        <f>Primarios!B30</f>
        <v>0</v>
      </c>
      <c r="D40" s="17">
        <f>Primarios!C30</f>
        <v>0</v>
      </c>
      <c r="E40" s="17">
        <f>Primarios!D30</f>
        <v>0</v>
      </c>
      <c r="F40" s="17">
        <f>Primarios!E30</f>
        <v>0</v>
      </c>
      <c r="G40" s="17">
        <f>Primarios!F30</f>
        <v>0</v>
      </c>
      <c r="H40" s="17">
        <f>Primarios!G30</f>
        <v>0</v>
      </c>
      <c r="I40" s="17">
        <f>Primarios!H30</f>
        <v>0</v>
      </c>
      <c r="J40" s="17">
        <f>Primarios!I30</f>
        <v>0</v>
      </c>
      <c r="K40" s="17">
        <f>Primarios!J30</f>
        <v>0</v>
      </c>
      <c r="L40" s="17">
        <f>Primarios!K30</f>
        <v>0</v>
      </c>
      <c r="M40" s="6"/>
      <c r="N40" s="6"/>
      <c r="O40" s="6"/>
    </row>
    <row r="41" spans="1:15" x14ac:dyDescent="0.25">
      <c r="A41" s="51">
        <v>8.3333333333333301E-2</v>
      </c>
      <c r="B41" s="52">
        <f>Primarios!A31</f>
        <v>25</v>
      </c>
      <c r="C41" s="1">
        <f>Primarios!B31</f>
        <v>0</v>
      </c>
      <c r="D41" s="17">
        <f>Primarios!C31</f>
        <v>0</v>
      </c>
      <c r="E41" s="17">
        <f>Primarios!D31</f>
        <v>0</v>
      </c>
      <c r="F41" s="17">
        <f>Primarios!E31</f>
        <v>0</v>
      </c>
      <c r="G41" s="17">
        <f>Primarios!F31</f>
        <v>0</v>
      </c>
      <c r="H41" s="17">
        <f>Primarios!G31</f>
        <v>0</v>
      </c>
      <c r="I41" s="17">
        <f>Primarios!H31</f>
        <v>0</v>
      </c>
      <c r="J41" s="17">
        <f>Primarios!I31</f>
        <v>0</v>
      </c>
      <c r="K41" s="17">
        <f>Primarios!J31</f>
        <v>0</v>
      </c>
      <c r="L41" s="17">
        <f>Primarios!K31</f>
        <v>0</v>
      </c>
      <c r="M41" s="6"/>
      <c r="N41" s="6"/>
      <c r="O41" s="6"/>
    </row>
    <row r="42" spans="1:15" x14ac:dyDescent="0.25">
      <c r="A42" s="53">
        <v>8.6805555555555594E-2</v>
      </c>
      <c r="B42" s="52">
        <f>Primarios!A32</f>
        <v>26</v>
      </c>
      <c r="C42" s="1">
        <f>Primarios!B32</f>
        <v>0</v>
      </c>
      <c r="D42" s="17">
        <f>Primarios!C32</f>
        <v>0</v>
      </c>
      <c r="E42" s="17">
        <f>Primarios!D32</f>
        <v>0</v>
      </c>
      <c r="F42" s="17">
        <f>Primarios!E32</f>
        <v>0</v>
      </c>
      <c r="G42" s="17">
        <f>Primarios!F32</f>
        <v>0</v>
      </c>
      <c r="H42" s="17">
        <f>Primarios!G32</f>
        <v>0</v>
      </c>
      <c r="I42" s="17">
        <f>Primarios!H32</f>
        <v>0</v>
      </c>
      <c r="J42" s="17">
        <f>Primarios!I32</f>
        <v>0</v>
      </c>
      <c r="K42" s="17">
        <f>Primarios!J32</f>
        <v>0</v>
      </c>
      <c r="L42" s="17">
        <f>Primarios!K32</f>
        <v>0</v>
      </c>
      <c r="M42" s="6"/>
      <c r="N42" s="6"/>
      <c r="O42" s="6"/>
    </row>
    <row r="43" spans="1:15" x14ac:dyDescent="0.25">
      <c r="A43" s="51">
        <v>9.0277777777777804E-2</v>
      </c>
      <c r="B43" s="52">
        <f>Primarios!A33</f>
        <v>27</v>
      </c>
      <c r="C43" s="1">
        <f>Primarios!B33</f>
        <v>0</v>
      </c>
      <c r="D43" s="17">
        <f>Primarios!C33</f>
        <v>0</v>
      </c>
      <c r="E43" s="17">
        <f>Primarios!D33</f>
        <v>0</v>
      </c>
      <c r="F43" s="17">
        <f>Primarios!E33</f>
        <v>0</v>
      </c>
      <c r="G43" s="17">
        <f>Primarios!F33</f>
        <v>0</v>
      </c>
      <c r="H43" s="17">
        <f>Primarios!G33</f>
        <v>0</v>
      </c>
      <c r="I43" s="17">
        <f>Primarios!H33</f>
        <v>0</v>
      </c>
      <c r="J43" s="17">
        <f>Primarios!I33</f>
        <v>0</v>
      </c>
      <c r="K43" s="17">
        <f>Primarios!J33</f>
        <v>0</v>
      </c>
      <c r="L43" s="17">
        <f>Primarios!K33</f>
        <v>0</v>
      </c>
      <c r="M43" s="6"/>
      <c r="N43" s="6"/>
      <c r="O43" s="6"/>
    </row>
    <row r="44" spans="1:15" x14ac:dyDescent="0.25">
      <c r="A44" s="53">
        <v>9.375E-2</v>
      </c>
      <c r="B44" s="52">
        <f>Primarios!A34</f>
        <v>28</v>
      </c>
      <c r="C44" s="1">
        <f>Primarios!B34</f>
        <v>0</v>
      </c>
      <c r="D44" s="17">
        <f>Primarios!C34</f>
        <v>0</v>
      </c>
      <c r="E44" s="17">
        <f>Primarios!D34</f>
        <v>0</v>
      </c>
      <c r="F44" s="17">
        <f>Primarios!E34</f>
        <v>0</v>
      </c>
      <c r="G44" s="17">
        <f>Primarios!F34</f>
        <v>0</v>
      </c>
      <c r="H44" s="17">
        <f>Primarios!G34</f>
        <v>0</v>
      </c>
      <c r="I44" s="17">
        <f>Primarios!H34</f>
        <v>0</v>
      </c>
      <c r="J44" s="17">
        <f>Primarios!I34</f>
        <v>0</v>
      </c>
      <c r="K44" s="17">
        <f>Primarios!J34</f>
        <v>0</v>
      </c>
      <c r="L44" s="17">
        <f>Primarios!K34</f>
        <v>0</v>
      </c>
      <c r="M44" s="6"/>
      <c r="N44" s="6"/>
      <c r="O44" s="6"/>
    </row>
    <row r="45" spans="1:15" x14ac:dyDescent="0.25">
      <c r="A45" s="51">
        <v>9.7222222222222196E-2</v>
      </c>
      <c r="B45" s="52">
        <f>Primarios!A35</f>
        <v>29</v>
      </c>
      <c r="C45" s="1">
        <f>Primarios!B35</f>
        <v>0</v>
      </c>
      <c r="D45" s="17">
        <f>Primarios!C35</f>
        <v>0</v>
      </c>
      <c r="E45" s="17">
        <f>Primarios!D35</f>
        <v>0</v>
      </c>
      <c r="F45" s="17">
        <f>Primarios!E35</f>
        <v>0</v>
      </c>
      <c r="G45" s="17">
        <f>Primarios!F35</f>
        <v>0</v>
      </c>
      <c r="H45" s="17">
        <f>Primarios!G35</f>
        <v>0</v>
      </c>
      <c r="I45" s="17">
        <f>Primarios!H35</f>
        <v>0</v>
      </c>
      <c r="J45" s="17">
        <f>Primarios!I35</f>
        <v>0</v>
      </c>
      <c r="K45" s="17">
        <f>Primarios!J35</f>
        <v>0</v>
      </c>
      <c r="L45" s="17">
        <f>Primarios!K35</f>
        <v>0</v>
      </c>
      <c r="M45" s="6"/>
      <c r="N45" s="6"/>
      <c r="O45" s="6"/>
    </row>
    <row r="46" spans="1:15" x14ac:dyDescent="0.25">
      <c r="A46" s="53">
        <v>0.100694444444444</v>
      </c>
      <c r="B46" s="52">
        <f>Primarios!A36</f>
        <v>30</v>
      </c>
      <c r="C46" s="1">
        <f>Primarios!B36</f>
        <v>0</v>
      </c>
      <c r="D46" s="17">
        <f>Primarios!C36</f>
        <v>0</v>
      </c>
      <c r="E46" s="17">
        <f>Primarios!D36</f>
        <v>0</v>
      </c>
      <c r="F46" s="17">
        <f>Primarios!E36</f>
        <v>0</v>
      </c>
      <c r="G46" s="17">
        <f>Primarios!F36</f>
        <v>0</v>
      </c>
      <c r="H46" s="17">
        <f>Primarios!G36</f>
        <v>0</v>
      </c>
      <c r="I46" s="17">
        <f>Primarios!H36</f>
        <v>0</v>
      </c>
      <c r="J46" s="17">
        <f>Primarios!I36</f>
        <v>0</v>
      </c>
      <c r="K46" s="17">
        <f>Primarios!J36</f>
        <v>0</v>
      </c>
      <c r="L46" s="17">
        <f>Primarios!K36</f>
        <v>0</v>
      </c>
      <c r="M46" s="6"/>
      <c r="N46" s="6"/>
      <c r="O46" s="6"/>
    </row>
    <row r="47" spans="1:15" x14ac:dyDescent="0.25">
      <c r="A47" s="51">
        <v>0.104166666666667</v>
      </c>
      <c r="B47" s="52">
        <f>Primarios!A37</f>
        <v>31</v>
      </c>
      <c r="C47" s="1">
        <f>Primarios!B37</f>
        <v>0</v>
      </c>
      <c r="D47" s="17">
        <f>Primarios!C37</f>
        <v>0</v>
      </c>
      <c r="E47" s="17">
        <f>Primarios!D37</f>
        <v>0</v>
      </c>
      <c r="F47" s="17">
        <f>Primarios!E37</f>
        <v>0</v>
      </c>
      <c r="G47" s="17">
        <f>Primarios!F37</f>
        <v>0</v>
      </c>
      <c r="H47" s="17">
        <f>Primarios!G37</f>
        <v>0</v>
      </c>
      <c r="I47" s="17">
        <f>Primarios!H37</f>
        <v>0</v>
      </c>
      <c r="J47" s="17">
        <f>Primarios!I37</f>
        <v>0</v>
      </c>
      <c r="K47" s="17">
        <f>Primarios!J37</f>
        <v>0</v>
      </c>
      <c r="L47" s="17">
        <f>Primarios!K37</f>
        <v>0</v>
      </c>
      <c r="M47" s="6"/>
      <c r="N47" s="6"/>
      <c r="O47" s="6"/>
    </row>
    <row r="48" spans="1:15" x14ac:dyDescent="0.25">
      <c r="A48" s="53">
        <v>0.10763888888888901</v>
      </c>
      <c r="B48" s="52">
        <f>Primarios!A38</f>
        <v>32</v>
      </c>
      <c r="C48" s="1">
        <f>Primarios!B38</f>
        <v>0</v>
      </c>
      <c r="D48" s="17">
        <f>Primarios!C38</f>
        <v>0</v>
      </c>
      <c r="E48" s="17">
        <f>Primarios!D38</f>
        <v>0</v>
      </c>
      <c r="F48" s="17">
        <f>Primarios!E38</f>
        <v>0</v>
      </c>
      <c r="G48" s="17">
        <f>Primarios!F38</f>
        <v>0</v>
      </c>
      <c r="H48" s="17">
        <f>Primarios!G38</f>
        <v>0</v>
      </c>
      <c r="I48" s="17">
        <f>Primarios!H38</f>
        <v>0</v>
      </c>
      <c r="J48" s="17">
        <f>Primarios!I38</f>
        <v>0</v>
      </c>
      <c r="K48" s="17">
        <f>Primarios!J38</f>
        <v>0</v>
      </c>
      <c r="L48" s="17">
        <f>Primarios!K38</f>
        <v>0</v>
      </c>
      <c r="M48" s="6"/>
      <c r="N48" s="6"/>
      <c r="O48" s="6"/>
    </row>
    <row r="49" spans="1:15" x14ac:dyDescent="0.25">
      <c r="A49" s="51">
        <v>0.11111111111111099</v>
      </c>
      <c r="B49" s="52">
        <f>Primarios!A39</f>
        <v>33</v>
      </c>
      <c r="C49" s="1">
        <f>Primarios!B39</f>
        <v>0</v>
      </c>
      <c r="D49" s="17">
        <f>Primarios!C39</f>
        <v>0</v>
      </c>
      <c r="E49" s="17">
        <f>Primarios!D39</f>
        <v>0</v>
      </c>
      <c r="F49" s="17">
        <f>Primarios!E39</f>
        <v>0</v>
      </c>
      <c r="G49" s="17">
        <f>Primarios!F39</f>
        <v>0</v>
      </c>
      <c r="H49" s="17">
        <f>Primarios!G39</f>
        <v>0</v>
      </c>
      <c r="I49" s="17">
        <f>Primarios!H39</f>
        <v>0</v>
      </c>
      <c r="J49" s="17">
        <f>Primarios!I39</f>
        <v>0</v>
      </c>
      <c r="K49" s="17">
        <f>Primarios!J39</f>
        <v>0</v>
      </c>
      <c r="L49" s="17">
        <f>Primarios!K39</f>
        <v>0</v>
      </c>
      <c r="M49" s="6"/>
      <c r="N49" s="6"/>
      <c r="O49" s="6"/>
    </row>
    <row r="50" spans="1:15" x14ac:dyDescent="0.25">
      <c r="A50" s="53">
        <v>0.114583333333333</v>
      </c>
      <c r="B50" s="52">
        <f>Primarios!A40</f>
        <v>34</v>
      </c>
      <c r="C50" s="1">
        <f>Primarios!B40</f>
        <v>0</v>
      </c>
      <c r="D50" s="17">
        <f>Primarios!C40</f>
        <v>0</v>
      </c>
      <c r="E50" s="17">
        <f>Primarios!D40</f>
        <v>0</v>
      </c>
      <c r="F50" s="17">
        <f>Primarios!E40</f>
        <v>0</v>
      </c>
      <c r="G50" s="17">
        <f>Primarios!F40</f>
        <v>0</v>
      </c>
      <c r="H50" s="17">
        <f>Primarios!G40</f>
        <v>0</v>
      </c>
      <c r="I50" s="17">
        <f>Primarios!H40</f>
        <v>0</v>
      </c>
      <c r="J50" s="17">
        <f>Primarios!I40</f>
        <v>0</v>
      </c>
      <c r="K50" s="17">
        <f>Primarios!J40</f>
        <v>0</v>
      </c>
      <c r="L50" s="17">
        <f>Primarios!K40</f>
        <v>0</v>
      </c>
      <c r="M50" s="6"/>
      <c r="N50" s="6"/>
      <c r="O50" s="6"/>
    </row>
    <row r="51" spans="1:15" x14ac:dyDescent="0.25">
      <c r="A51" s="51">
        <v>0.118055555555556</v>
      </c>
      <c r="B51" s="52">
        <f>Primarios!A41</f>
        <v>35</v>
      </c>
      <c r="C51" s="1">
        <f>Primarios!B41</f>
        <v>0</v>
      </c>
      <c r="D51" s="17">
        <f>Primarios!C41</f>
        <v>0</v>
      </c>
      <c r="E51" s="17">
        <f>Primarios!D41</f>
        <v>0</v>
      </c>
      <c r="F51" s="17">
        <f>Primarios!E41</f>
        <v>0</v>
      </c>
      <c r="G51" s="17">
        <f>Primarios!F41</f>
        <v>0</v>
      </c>
      <c r="H51" s="17">
        <f>Primarios!G41</f>
        <v>0</v>
      </c>
      <c r="I51" s="17">
        <f>Primarios!H41</f>
        <v>0</v>
      </c>
      <c r="J51" s="17">
        <f>Primarios!I41</f>
        <v>0</v>
      </c>
      <c r="K51" s="17">
        <f>Primarios!J41</f>
        <v>0</v>
      </c>
      <c r="L51" s="17">
        <f>Primarios!K41</f>
        <v>0</v>
      </c>
      <c r="M51" s="6"/>
      <c r="N51" s="6"/>
      <c r="O51" s="6"/>
    </row>
    <row r="52" spans="1:15" x14ac:dyDescent="0.25">
      <c r="A52" s="53">
        <v>0.121527777777778</v>
      </c>
      <c r="B52" s="52">
        <f>Primarios!A42</f>
        <v>36</v>
      </c>
      <c r="C52" s="1">
        <f>Primarios!B42</f>
        <v>0</v>
      </c>
      <c r="D52" s="17">
        <f>Primarios!C42</f>
        <v>0</v>
      </c>
      <c r="E52" s="17">
        <f>Primarios!D42</f>
        <v>0</v>
      </c>
      <c r="F52" s="17">
        <f>Primarios!E42</f>
        <v>0</v>
      </c>
      <c r="G52" s="17">
        <f>Primarios!F42</f>
        <v>0</v>
      </c>
      <c r="H52" s="17">
        <f>Primarios!G42</f>
        <v>0</v>
      </c>
      <c r="I52" s="17">
        <f>Primarios!H42</f>
        <v>0</v>
      </c>
      <c r="J52" s="17">
        <f>Primarios!I42</f>
        <v>0</v>
      </c>
      <c r="K52" s="17">
        <f>Primarios!J42</f>
        <v>0</v>
      </c>
      <c r="L52" s="17">
        <f>Primarios!K42</f>
        <v>0</v>
      </c>
      <c r="M52" s="6"/>
      <c r="N52" s="6"/>
      <c r="O52" s="6"/>
    </row>
    <row r="53" spans="1:15" x14ac:dyDescent="0.25">
      <c r="A53" s="51">
        <v>0.125</v>
      </c>
      <c r="B53" s="52">
        <f>Primarios!A43</f>
        <v>37</v>
      </c>
      <c r="C53" s="1">
        <f>Primarios!B43</f>
        <v>0</v>
      </c>
      <c r="D53" s="17">
        <f>Primarios!C43</f>
        <v>0</v>
      </c>
      <c r="E53" s="17">
        <f>Primarios!D43</f>
        <v>0</v>
      </c>
      <c r="F53" s="17">
        <f>Primarios!E43</f>
        <v>0</v>
      </c>
      <c r="G53" s="17">
        <f>Primarios!F43</f>
        <v>0</v>
      </c>
      <c r="H53" s="17">
        <f>Primarios!G43</f>
        <v>0</v>
      </c>
      <c r="I53" s="17">
        <f>Primarios!H43</f>
        <v>0</v>
      </c>
      <c r="J53" s="17">
        <f>Primarios!I43</f>
        <v>0</v>
      </c>
      <c r="K53" s="17">
        <f>Primarios!J43</f>
        <v>0</v>
      </c>
      <c r="L53" s="17">
        <f>Primarios!K43</f>
        <v>0</v>
      </c>
      <c r="M53" s="6"/>
      <c r="N53" s="6"/>
      <c r="O53" s="6"/>
    </row>
    <row r="54" spans="1:15" x14ac:dyDescent="0.25">
      <c r="A54" s="53">
        <v>0.12847222222222199</v>
      </c>
      <c r="B54" s="52">
        <f>Primarios!A44</f>
        <v>38</v>
      </c>
      <c r="C54" s="1">
        <f>Primarios!B44</f>
        <v>0</v>
      </c>
      <c r="D54" s="17">
        <f>Primarios!C44</f>
        <v>0</v>
      </c>
      <c r="E54" s="17">
        <f>Primarios!D44</f>
        <v>0</v>
      </c>
      <c r="F54" s="17">
        <f>Primarios!E44</f>
        <v>0</v>
      </c>
      <c r="G54" s="17">
        <f>Primarios!F44</f>
        <v>0</v>
      </c>
      <c r="H54" s="17">
        <f>Primarios!G44</f>
        <v>0</v>
      </c>
      <c r="I54" s="17">
        <f>Primarios!H44</f>
        <v>0</v>
      </c>
      <c r="J54" s="17">
        <f>Primarios!I44</f>
        <v>0</v>
      </c>
      <c r="K54" s="17">
        <f>Primarios!J44</f>
        <v>0</v>
      </c>
      <c r="L54" s="17">
        <f>Primarios!K44</f>
        <v>0</v>
      </c>
      <c r="M54" s="6"/>
      <c r="N54" s="6"/>
      <c r="O54" s="6"/>
    </row>
    <row r="55" spans="1:15" x14ac:dyDescent="0.25">
      <c r="A55" s="51">
        <v>0.131944444444444</v>
      </c>
      <c r="B55" s="52">
        <f>Primarios!A45</f>
        <v>39</v>
      </c>
      <c r="C55" s="1">
        <f>Primarios!B45</f>
        <v>0</v>
      </c>
      <c r="D55" s="17">
        <f>Primarios!C45</f>
        <v>0</v>
      </c>
      <c r="E55" s="17">
        <f>Primarios!D45</f>
        <v>0</v>
      </c>
      <c r="F55" s="17">
        <f>Primarios!E45</f>
        <v>0</v>
      </c>
      <c r="G55" s="17">
        <f>Primarios!F45</f>
        <v>0</v>
      </c>
      <c r="H55" s="17">
        <f>Primarios!G45</f>
        <v>0</v>
      </c>
      <c r="I55" s="17">
        <f>Primarios!H45</f>
        <v>0</v>
      </c>
      <c r="J55" s="17">
        <f>Primarios!I45</f>
        <v>0</v>
      </c>
      <c r="K55" s="17">
        <f>Primarios!J45</f>
        <v>0</v>
      </c>
      <c r="L55" s="17">
        <f>Primarios!K45</f>
        <v>0</v>
      </c>
      <c r="M55" s="6"/>
      <c r="N55" s="6"/>
      <c r="O55" s="6"/>
    </row>
    <row r="56" spans="1:15" x14ac:dyDescent="0.25">
      <c r="A56" s="53">
        <v>0.13541666666666699</v>
      </c>
      <c r="B56" s="52">
        <f>Primarios!A46</f>
        <v>40</v>
      </c>
      <c r="C56" s="1">
        <f>Primarios!B46</f>
        <v>0</v>
      </c>
      <c r="D56" s="17">
        <f>Primarios!C46</f>
        <v>0</v>
      </c>
      <c r="E56" s="17">
        <f>Primarios!D46</f>
        <v>0</v>
      </c>
      <c r="F56" s="17">
        <f>Primarios!E46</f>
        <v>0</v>
      </c>
      <c r="G56" s="17">
        <f>Primarios!F46</f>
        <v>0</v>
      </c>
      <c r="H56" s="17">
        <f>Primarios!G46</f>
        <v>0</v>
      </c>
      <c r="I56" s="17">
        <f>Primarios!H46</f>
        <v>0</v>
      </c>
      <c r="J56" s="17">
        <f>Primarios!I46</f>
        <v>0</v>
      </c>
      <c r="K56" s="17">
        <f>Primarios!J46</f>
        <v>0</v>
      </c>
      <c r="L56" s="17">
        <f>Primarios!K46</f>
        <v>0</v>
      </c>
      <c r="M56" s="6"/>
      <c r="N56" s="6"/>
      <c r="O56" s="6"/>
    </row>
    <row r="57" spans="1:15" x14ac:dyDescent="0.25">
      <c r="A57" s="51">
        <v>0.13888888888888901</v>
      </c>
      <c r="B57" s="52">
        <f>Primarios!A47</f>
        <v>41</v>
      </c>
      <c r="C57" s="1">
        <f>Primarios!B47</f>
        <v>0</v>
      </c>
      <c r="D57" s="17">
        <f>Primarios!C47</f>
        <v>0</v>
      </c>
      <c r="E57" s="17">
        <f>Primarios!D47</f>
        <v>0</v>
      </c>
      <c r="F57" s="17">
        <f>Primarios!E47</f>
        <v>0</v>
      </c>
      <c r="G57" s="17">
        <f>Primarios!F47</f>
        <v>0</v>
      </c>
      <c r="H57" s="17">
        <f>Primarios!G47</f>
        <v>0</v>
      </c>
      <c r="I57" s="17">
        <f>Primarios!H47</f>
        <v>0</v>
      </c>
      <c r="J57" s="17">
        <f>Primarios!I47</f>
        <v>0</v>
      </c>
      <c r="K57" s="17">
        <f>Primarios!J47</f>
        <v>0</v>
      </c>
      <c r="L57" s="17">
        <f>Primarios!K47</f>
        <v>0</v>
      </c>
      <c r="M57" s="6"/>
      <c r="N57" s="6"/>
      <c r="O57" s="6"/>
    </row>
    <row r="58" spans="1:15" x14ac:dyDescent="0.25">
      <c r="A58" s="53">
        <v>0.14236111111111099</v>
      </c>
      <c r="B58" s="52">
        <f>Primarios!A48</f>
        <v>42</v>
      </c>
      <c r="C58" s="1">
        <f>Primarios!B48</f>
        <v>0</v>
      </c>
      <c r="D58" s="17">
        <f>Primarios!C48</f>
        <v>0</v>
      </c>
      <c r="E58" s="17">
        <f>Primarios!D48</f>
        <v>0</v>
      </c>
      <c r="F58" s="17">
        <f>Primarios!E48</f>
        <v>0</v>
      </c>
      <c r="G58" s="17">
        <f>Primarios!F48</f>
        <v>0</v>
      </c>
      <c r="H58" s="17">
        <f>Primarios!G48</f>
        <v>0</v>
      </c>
      <c r="I58" s="17">
        <f>Primarios!H48</f>
        <v>0</v>
      </c>
      <c r="J58" s="17">
        <f>Primarios!I48</f>
        <v>0</v>
      </c>
      <c r="K58" s="17">
        <f>Primarios!J48</f>
        <v>0</v>
      </c>
      <c r="L58" s="17">
        <f>Primarios!K48</f>
        <v>0</v>
      </c>
      <c r="M58" s="6"/>
      <c r="N58" s="6"/>
      <c r="O58" s="6"/>
    </row>
    <row r="59" spans="1:15" x14ac:dyDescent="0.25">
      <c r="A59" s="51">
        <v>0.14583333333333301</v>
      </c>
      <c r="B59" s="52">
        <f>Primarios!A49</f>
        <v>43</v>
      </c>
      <c r="C59" s="1">
        <f>Primarios!B49</f>
        <v>0</v>
      </c>
      <c r="D59" s="17">
        <f>Primarios!C49</f>
        <v>0</v>
      </c>
      <c r="E59" s="17">
        <f>Primarios!D49</f>
        <v>0</v>
      </c>
      <c r="F59" s="17">
        <f>Primarios!E49</f>
        <v>0</v>
      </c>
      <c r="G59" s="17">
        <f>Primarios!F49</f>
        <v>0</v>
      </c>
      <c r="H59" s="17">
        <f>Primarios!G49</f>
        <v>0</v>
      </c>
      <c r="I59" s="17">
        <f>Primarios!H49</f>
        <v>0</v>
      </c>
      <c r="J59" s="17">
        <f>Primarios!I49</f>
        <v>0</v>
      </c>
      <c r="K59" s="17">
        <f>Primarios!J49</f>
        <v>0</v>
      </c>
      <c r="L59" s="17">
        <f>Primarios!K49</f>
        <v>0</v>
      </c>
      <c r="M59" s="6"/>
      <c r="N59" s="6"/>
      <c r="O59" s="6"/>
    </row>
    <row r="60" spans="1:15" x14ac:dyDescent="0.25">
      <c r="A60" s="53">
        <v>0.149305555555556</v>
      </c>
      <c r="B60" s="52">
        <f>Primarios!A50</f>
        <v>44</v>
      </c>
      <c r="C60" s="1">
        <f>Primarios!B50</f>
        <v>0</v>
      </c>
      <c r="D60" s="17">
        <f>Primarios!C50</f>
        <v>0</v>
      </c>
      <c r="E60" s="17">
        <f>Primarios!D50</f>
        <v>0</v>
      </c>
      <c r="F60" s="17">
        <f>Primarios!E50</f>
        <v>0</v>
      </c>
      <c r="G60" s="17">
        <f>Primarios!F50</f>
        <v>0</v>
      </c>
      <c r="H60" s="17">
        <f>Primarios!G50</f>
        <v>0</v>
      </c>
      <c r="I60" s="17">
        <f>Primarios!H50</f>
        <v>0</v>
      </c>
      <c r="J60" s="17">
        <f>Primarios!I50</f>
        <v>0</v>
      </c>
      <c r="K60" s="17">
        <f>Primarios!J50</f>
        <v>0</v>
      </c>
      <c r="L60" s="17">
        <f>Primarios!K50</f>
        <v>0</v>
      </c>
      <c r="M60" s="6"/>
      <c r="N60" s="6"/>
      <c r="O60" s="6"/>
    </row>
    <row r="61" spans="1:15" x14ac:dyDescent="0.25">
      <c r="A61" s="51">
        <v>0.15277777777777801</v>
      </c>
      <c r="B61" s="52">
        <f>Primarios!A51</f>
        <v>45</v>
      </c>
      <c r="C61" s="1">
        <f>Primarios!B51</f>
        <v>0</v>
      </c>
      <c r="D61" s="17">
        <f>Primarios!C51</f>
        <v>0</v>
      </c>
      <c r="E61" s="17">
        <f>Primarios!D51</f>
        <v>0</v>
      </c>
      <c r="F61" s="17">
        <f>Primarios!E51</f>
        <v>0</v>
      </c>
      <c r="G61" s="17">
        <f>Primarios!F51</f>
        <v>0</v>
      </c>
      <c r="H61" s="17">
        <f>Primarios!G51</f>
        <v>0</v>
      </c>
      <c r="I61" s="17">
        <f>Primarios!H51</f>
        <v>0</v>
      </c>
      <c r="J61" s="17">
        <f>Primarios!I51</f>
        <v>0</v>
      </c>
      <c r="K61" s="17">
        <f>Primarios!J51</f>
        <v>0</v>
      </c>
      <c r="L61" s="17">
        <f>Primarios!K51</f>
        <v>0</v>
      </c>
      <c r="M61" s="6"/>
      <c r="N61" s="6"/>
      <c r="O61" s="6"/>
    </row>
    <row r="62" spans="1:15" x14ac:dyDescent="0.25">
      <c r="A62" s="53">
        <v>0.15625</v>
      </c>
      <c r="B62" s="52">
        <f>Primarios!A52</f>
        <v>46</v>
      </c>
      <c r="C62" s="1">
        <f>Primarios!B52</f>
        <v>0</v>
      </c>
      <c r="D62" s="17">
        <f>Primarios!C52</f>
        <v>0</v>
      </c>
      <c r="E62" s="17">
        <f>Primarios!D52</f>
        <v>0</v>
      </c>
      <c r="F62" s="17">
        <f>Primarios!E52</f>
        <v>0</v>
      </c>
      <c r="G62" s="17">
        <f>Primarios!F52</f>
        <v>0</v>
      </c>
      <c r="H62" s="17">
        <f>Primarios!G52</f>
        <v>0</v>
      </c>
      <c r="I62" s="17">
        <f>Primarios!H52</f>
        <v>0</v>
      </c>
      <c r="J62" s="17">
        <f>Primarios!I52</f>
        <v>0</v>
      </c>
      <c r="K62" s="17">
        <f>Primarios!J52</f>
        <v>0</v>
      </c>
      <c r="L62" s="17">
        <f>Primarios!K52</f>
        <v>0</v>
      </c>
      <c r="M62" s="6"/>
      <c r="N62" s="6"/>
      <c r="O62" s="6"/>
    </row>
    <row r="63" spans="1:15" x14ac:dyDescent="0.25">
      <c r="A63" s="51">
        <v>0.15972222222222199</v>
      </c>
      <c r="B63" s="52">
        <f>Primarios!A53</f>
        <v>47</v>
      </c>
      <c r="C63" s="1">
        <f>Primarios!B53</f>
        <v>0</v>
      </c>
      <c r="D63" s="17">
        <f>Primarios!C53</f>
        <v>0</v>
      </c>
      <c r="E63" s="17">
        <f>Primarios!D53</f>
        <v>0</v>
      </c>
      <c r="F63" s="17">
        <f>Primarios!E53</f>
        <v>0</v>
      </c>
      <c r="G63" s="17">
        <f>Primarios!F53</f>
        <v>0</v>
      </c>
      <c r="H63" s="17">
        <f>Primarios!G53</f>
        <v>0</v>
      </c>
      <c r="I63" s="17">
        <f>Primarios!H53</f>
        <v>0</v>
      </c>
      <c r="J63" s="17">
        <f>Primarios!I53</f>
        <v>0</v>
      </c>
      <c r="K63" s="17">
        <f>Primarios!J53</f>
        <v>0</v>
      </c>
      <c r="L63" s="17">
        <f>Primarios!K53</f>
        <v>0</v>
      </c>
      <c r="M63" s="6"/>
      <c r="N63" s="6"/>
      <c r="O63" s="6"/>
    </row>
    <row r="64" spans="1:15" x14ac:dyDescent="0.25">
      <c r="A64" s="53">
        <v>0.163194444444444</v>
      </c>
      <c r="B64" s="52">
        <f>Primarios!A54</f>
        <v>48</v>
      </c>
      <c r="C64" s="1">
        <f>Primarios!B54</f>
        <v>0</v>
      </c>
      <c r="D64" s="17">
        <f>Primarios!C54</f>
        <v>0</v>
      </c>
      <c r="E64" s="17">
        <f>Primarios!D54</f>
        <v>0</v>
      </c>
      <c r="F64" s="17">
        <f>Primarios!E54</f>
        <v>0</v>
      </c>
      <c r="G64" s="17">
        <f>Primarios!F54</f>
        <v>0</v>
      </c>
      <c r="H64" s="17">
        <f>Primarios!G54</f>
        <v>0</v>
      </c>
      <c r="I64" s="17">
        <f>Primarios!H54</f>
        <v>0</v>
      </c>
      <c r="J64" s="17">
        <f>Primarios!I54</f>
        <v>0</v>
      </c>
      <c r="K64" s="17">
        <f>Primarios!J54</f>
        <v>0</v>
      </c>
      <c r="L64" s="17">
        <f>Primarios!K54</f>
        <v>0</v>
      </c>
      <c r="M64" s="6"/>
      <c r="N64" s="6"/>
      <c r="O64" s="6"/>
    </row>
    <row r="65" spans="1:15" x14ac:dyDescent="0.25">
      <c r="A65" s="51">
        <v>0.16666666666666699</v>
      </c>
      <c r="B65" s="52">
        <f>Primarios!A55</f>
        <v>49</v>
      </c>
      <c r="C65" s="1">
        <f>Primarios!B55</f>
        <v>0</v>
      </c>
      <c r="D65" s="17">
        <f>Primarios!C55</f>
        <v>0</v>
      </c>
      <c r="E65" s="17">
        <f>Primarios!D55</f>
        <v>0</v>
      </c>
      <c r="F65" s="17">
        <f>Primarios!E55</f>
        <v>0</v>
      </c>
      <c r="G65" s="17">
        <f>Primarios!F55</f>
        <v>0</v>
      </c>
      <c r="H65" s="17">
        <f>Primarios!G55</f>
        <v>0</v>
      </c>
      <c r="I65" s="17">
        <f>Primarios!H55</f>
        <v>0</v>
      </c>
      <c r="J65" s="17">
        <f>Primarios!I55</f>
        <v>0</v>
      </c>
      <c r="K65" s="17">
        <f>Primarios!J55</f>
        <v>0</v>
      </c>
      <c r="L65" s="17">
        <f>Primarios!K55</f>
        <v>0</v>
      </c>
      <c r="M65" s="6"/>
      <c r="N65" s="6"/>
      <c r="O65" s="6"/>
    </row>
    <row r="66" spans="1:15" x14ac:dyDescent="0.25">
      <c r="A66" s="53">
        <v>0.17013888888888901</v>
      </c>
      <c r="B66" s="52">
        <f>Primarios!A56</f>
        <v>50</v>
      </c>
      <c r="C66" s="1">
        <f>Primarios!B56</f>
        <v>0</v>
      </c>
      <c r="D66" s="17">
        <f>Primarios!C56</f>
        <v>0</v>
      </c>
      <c r="E66" s="17">
        <f>Primarios!D56</f>
        <v>0</v>
      </c>
      <c r="F66" s="17">
        <f>Primarios!E56</f>
        <v>0</v>
      </c>
      <c r="G66" s="17">
        <f>Primarios!F56</f>
        <v>0</v>
      </c>
      <c r="H66" s="17">
        <f>Primarios!G56</f>
        <v>0</v>
      </c>
      <c r="I66" s="17">
        <f>Primarios!H56</f>
        <v>0</v>
      </c>
      <c r="J66" s="17">
        <f>Primarios!I56</f>
        <v>0</v>
      </c>
      <c r="K66" s="17">
        <f>Primarios!J56</f>
        <v>0</v>
      </c>
      <c r="L66" s="17">
        <f>Primarios!K56</f>
        <v>0</v>
      </c>
      <c r="M66" s="6"/>
      <c r="N66" s="6"/>
      <c r="O66" s="6"/>
    </row>
    <row r="67" spans="1:15" x14ac:dyDescent="0.25">
      <c r="A67" s="51">
        <v>0.17361111111111099</v>
      </c>
      <c r="B67" s="52">
        <f>Primarios!A57</f>
        <v>51</v>
      </c>
      <c r="C67" s="1">
        <f>Primarios!B57</f>
        <v>0</v>
      </c>
      <c r="D67" s="17">
        <f>Primarios!C57</f>
        <v>0</v>
      </c>
      <c r="E67" s="17">
        <f>Primarios!D57</f>
        <v>0</v>
      </c>
      <c r="F67" s="17">
        <f>Primarios!E57</f>
        <v>0</v>
      </c>
      <c r="G67" s="17">
        <f>Primarios!F57</f>
        <v>0</v>
      </c>
      <c r="H67" s="17">
        <f>Primarios!G57</f>
        <v>0</v>
      </c>
      <c r="I67" s="17">
        <f>Primarios!H57</f>
        <v>0</v>
      </c>
      <c r="J67" s="17">
        <f>Primarios!I57</f>
        <v>0</v>
      </c>
      <c r="K67" s="17">
        <f>Primarios!J57</f>
        <v>0</v>
      </c>
      <c r="L67" s="17">
        <f>Primarios!K57</f>
        <v>0</v>
      </c>
      <c r="M67" s="6"/>
      <c r="N67" s="6"/>
      <c r="O67" s="6"/>
    </row>
    <row r="68" spans="1:15" x14ac:dyDescent="0.25">
      <c r="A68" s="53">
        <v>0.17708333333333301</v>
      </c>
      <c r="B68" s="52">
        <f>Primarios!A58</f>
        <v>52</v>
      </c>
      <c r="C68" s="1">
        <f>Primarios!B58</f>
        <v>0</v>
      </c>
      <c r="D68" s="17">
        <f>Primarios!C58</f>
        <v>0</v>
      </c>
      <c r="E68" s="17">
        <f>Primarios!D58</f>
        <v>0</v>
      </c>
      <c r="F68" s="17">
        <f>Primarios!E58</f>
        <v>0</v>
      </c>
      <c r="G68" s="17">
        <f>Primarios!F58</f>
        <v>0</v>
      </c>
      <c r="H68" s="17">
        <f>Primarios!G58</f>
        <v>0</v>
      </c>
      <c r="I68" s="17">
        <f>Primarios!H58</f>
        <v>0</v>
      </c>
      <c r="J68" s="17">
        <f>Primarios!I58</f>
        <v>0</v>
      </c>
      <c r="K68" s="17">
        <f>Primarios!J58</f>
        <v>0</v>
      </c>
      <c r="L68" s="17">
        <f>Primarios!K58</f>
        <v>0</v>
      </c>
      <c r="M68" s="6"/>
      <c r="N68" s="6"/>
      <c r="O68" s="6"/>
    </row>
    <row r="69" spans="1:15" x14ac:dyDescent="0.25">
      <c r="A69" s="51">
        <v>0.180555555555556</v>
      </c>
      <c r="B69" s="52">
        <f>Primarios!A59</f>
        <v>53</v>
      </c>
      <c r="C69" s="1">
        <f>Primarios!B59</f>
        <v>0</v>
      </c>
      <c r="D69" s="17">
        <f>Primarios!C59</f>
        <v>0</v>
      </c>
      <c r="E69" s="17">
        <f>Primarios!D59</f>
        <v>0</v>
      </c>
      <c r="F69" s="17">
        <f>Primarios!E59</f>
        <v>0</v>
      </c>
      <c r="G69" s="17">
        <f>Primarios!F59</f>
        <v>0</v>
      </c>
      <c r="H69" s="17">
        <f>Primarios!G59</f>
        <v>0</v>
      </c>
      <c r="I69" s="17">
        <f>Primarios!H59</f>
        <v>0</v>
      </c>
      <c r="J69" s="17">
        <f>Primarios!I59</f>
        <v>0</v>
      </c>
      <c r="K69" s="17">
        <f>Primarios!J59</f>
        <v>0</v>
      </c>
      <c r="L69" s="17">
        <f>Primarios!K59</f>
        <v>0</v>
      </c>
      <c r="M69" s="6"/>
      <c r="N69" s="6"/>
      <c r="O69" s="6"/>
    </row>
    <row r="70" spans="1:15" x14ac:dyDescent="0.25">
      <c r="A70" s="53">
        <v>0.18402777777777801</v>
      </c>
      <c r="B70" s="52">
        <f>Primarios!A60</f>
        <v>54</v>
      </c>
      <c r="C70" s="1">
        <f>Primarios!B60</f>
        <v>0</v>
      </c>
      <c r="D70" s="17">
        <f>Primarios!C60</f>
        <v>0</v>
      </c>
      <c r="E70" s="17">
        <f>Primarios!D60</f>
        <v>0</v>
      </c>
      <c r="F70" s="17">
        <f>Primarios!E60</f>
        <v>0</v>
      </c>
      <c r="G70" s="17">
        <f>Primarios!F60</f>
        <v>0</v>
      </c>
      <c r="H70" s="17">
        <f>Primarios!G60</f>
        <v>0</v>
      </c>
      <c r="I70" s="17">
        <f>Primarios!H60</f>
        <v>0</v>
      </c>
      <c r="J70" s="17">
        <f>Primarios!I60</f>
        <v>0</v>
      </c>
      <c r="K70" s="17">
        <f>Primarios!J60</f>
        <v>0</v>
      </c>
      <c r="L70" s="17">
        <f>Primarios!K60</f>
        <v>0</v>
      </c>
      <c r="M70" s="6"/>
      <c r="N70" s="6"/>
      <c r="O70" s="6"/>
    </row>
    <row r="71" spans="1:15" x14ac:dyDescent="0.25">
      <c r="A71" s="51">
        <v>0.1875</v>
      </c>
      <c r="B71" s="52">
        <f>Primarios!A61</f>
        <v>55</v>
      </c>
      <c r="C71" s="1">
        <f>Primarios!B61</f>
        <v>0</v>
      </c>
      <c r="D71" s="17">
        <f>Primarios!C61</f>
        <v>0</v>
      </c>
      <c r="E71" s="17">
        <f>Primarios!D61</f>
        <v>0</v>
      </c>
      <c r="F71" s="17">
        <f>Primarios!E61</f>
        <v>0</v>
      </c>
      <c r="G71" s="17">
        <f>Primarios!F61</f>
        <v>0</v>
      </c>
      <c r="H71" s="17">
        <f>Primarios!G61</f>
        <v>0</v>
      </c>
      <c r="I71" s="17">
        <f>Primarios!H61</f>
        <v>0</v>
      </c>
      <c r="J71" s="17">
        <f>Primarios!I61</f>
        <v>0</v>
      </c>
      <c r="K71" s="17">
        <f>Primarios!J61</f>
        <v>0</v>
      </c>
      <c r="L71" s="17">
        <f>Primarios!K61</f>
        <v>0</v>
      </c>
      <c r="M71" s="6"/>
      <c r="N71" s="6"/>
      <c r="O71" s="6"/>
    </row>
    <row r="72" spans="1:15" x14ac:dyDescent="0.25">
      <c r="A72" s="53">
        <v>0.19097222222222199</v>
      </c>
      <c r="B72" s="52">
        <f>Primarios!A62</f>
        <v>56</v>
      </c>
      <c r="C72" s="1">
        <f>Primarios!B62</f>
        <v>0</v>
      </c>
      <c r="D72" s="17">
        <f>Primarios!C62</f>
        <v>0</v>
      </c>
      <c r="E72" s="17">
        <f>Primarios!D62</f>
        <v>0</v>
      </c>
      <c r="F72" s="17">
        <f>Primarios!E62</f>
        <v>0</v>
      </c>
      <c r="G72" s="17">
        <f>Primarios!F62</f>
        <v>0</v>
      </c>
      <c r="H72" s="17">
        <f>Primarios!G62</f>
        <v>0</v>
      </c>
      <c r="I72" s="17">
        <f>Primarios!H62</f>
        <v>0</v>
      </c>
      <c r="J72" s="17">
        <f>Primarios!I62</f>
        <v>0</v>
      </c>
      <c r="K72" s="17">
        <f>Primarios!J62</f>
        <v>0</v>
      </c>
      <c r="L72" s="17">
        <f>Primarios!K62</f>
        <v>0</v>
      </c>
      <c r="M72" s="6"/>
      <c r="N72" s="6"/>
      <c r="O72" s="6"/>
    </row>
    <row r="73" spans="1:15" x14ac:dyDescent="0.25">
      <c r="A73" s="51">
        <v>0.194444444444444</v>
      </c>
      <c r="B73" s="52">
        <f>Primarios!A63</f>
        <v>57</v>
      </c>
      <c r="C73" s="1">
        <f>Primarios!B63</f>
        <v>0</v>
      </c>
      <c r="D73" s="17">
        <f>Primarios!C63</f>
        <v>0</v>
      </c>
      <c r="E73" s="17">
        <f>Primarios!D63</f>
        <v>0</v>
      </c>
      <c r="F73" s="17">
        <f>Primarios!E63</f>
        <v>0</v>
      </c>
      <c r="G73" s="17">
        <f>Primarios!F63</f>
        <v>0</v>
      </c>
      <c r="H73" s="17">
        <f>Primarios!G63</f>
        <v>0</v>
      </c>
      <c r="I73" s="17">
        <f>Primarios!H63</f>
        <v>0</v>
      </c>
      <c r="J73" s="17">
        <f>Primarios!I63</f>
        <v>0</v>
      </c>
      <c r="K73" s="17">
        <f>Primarios!J63</f>
        <v>0</v>
      </c>
      <c r="L73" s="17">
        <f>Primarios!K63</f>
        <v>0</v>
      </c>
      <c r="M73" s="6"/>
      <c r="N73" s="6"/>
      <c r="O73" s="6"/>
    </row>
    <row r="74" spans="1:15" x14ac:dyDescent="0.25">
      <c r="A74" s="53">
        <v>0.19791666666666699</v>
      </c>
      <c r="B74" s="52">
        <f>Primarios!A64</f>
        <v>58</v>
      </c>
      <c r="C74" s="1">
        <f>Primarios!B64</f>
        <v>0</v>
      </c>
      <c r="D74" s="17">
        <f>Primarios!C64</f>
        <v>0</v>
      </c>
      <c r="E74" s="17">
        <f>Primarios!D64</f>
        <v>0</v>
      </c>
      <c r="F74" s="17">
        <f>Primarios!E64</f>
        <v>0</v>
      </c>
      <c r="G74" s="17">
        <f>Primarios!F64</f>
        <v>0</v>
      </c>
      <c r="H74" s="17">
        <f>Primarios!G64</f>
        <v>0</v>
      </c>
      <c r="I74" s="17">
        <f>Primarios!H64</f>
        <v>0</v>
      </c>
      <c r="J74" s="17">
        <f>Primarios!I64</f>
        <v>0</v>
      </c>
      <c r="K74" s="17">
        <f>Primarios!J64</f>
        <v>0</v>
      </c>
      <c r="L74" s="17">
        <f>Primarios!K64</f>
        <v>0</v>
      </c>
      <c r="M74" s="6"/>
      <c r="N74" s="6"/>
      <c r="O74" s="6"/>
    </row>
    <row r="75" spans="1:15" x14ac:dyDescent="0.25">
      <c r="A75" s="51">
        <v>0.20138888888888901</v>
      </c>
      <c r="B75" s="52">
        <f>Primarios!A65</f>
        <v>59</v>
      </c>
      <c r="C75" s="1">
        <f>Primarios!B65</f>
        <v>0</v>
      </c>
      <c r="D75" s="17">
        <f>Primarios!C65</f>
        <v>0</v>
      </c>
      <c r="E75" s="17">
        <f>Primarios!D65</f>
        <v>0</v>
      </c>
      <c r="F75" s="17">
        <f>Primarios!E65</f>
        <v>0</v>
      </c>
      <c r="G75" s="17">
        <f>Primarios!F65</f>
        <v>0</v>
      </c>
      <c r="H75" s="17">
        <f>Primarios!G65</f>
        <v>0</v>
      </c>
      <c r="I75" s="17">
        <f>Primarios!H65</f>
        <v>0</v>
      </c>
      <c r="J75" s="17">
        <f>Primarios!I65</f>
        <v>0</v>
      </c>
      <c r="K75" s="17">
        <f>Primarios!J65</f>
        <v>0</v>
      </c>
      <c r="L75" s="17">
        <f>Primarios!K65</f>
        <v>0</v>
      </c>
      <c r="M75" s="6"/>
      <c r="N75" s="6"/>
      <c r="O75" s="6"/>
    </row>
    <row r="76" spans="1:15" x14ac:dyDescent="0.25">
      <c r="A76" s="53">
        <v>0.20486111111111099</v>
      </c>
      <c r="B76" s="52">
        <f>Primarios!A66</f>
        <v>60</v>
      </c>
      <c r="C76" s="1">
        <f>Primarios!B66</f>
        <v>0</v>
      </c>
      <c r="D76" s="17">
        <f>Primarios!C66</f>
        <v>0</v>
      </c>
      <c r="E76" s="17">
        <f>Primarios!D66</f>
        <v>0</v>
      </c>
      <c r="F76" s="17">
        <f>Primarios!E66</f>
        <v>0</v>
      </c>
      <c r="G76" s="17">
        <f>Primarios!F66</f>
        <v>0</v>
      </c>
      <c r="H76" s="17">
        <f>Primarios!G66</f>
        <v>0</v>
      </c>
      <c r="I76" s="17">
        <f>Primarios!H66</f>
        <v>0</v>
      </c>
      <c r="J76" s="17">
        <f>Primarios!I66</f>
        <v>0</v>
      </c>
      <c r="K76" s="17">
        <f>Primarios!J66</f>
        <v>0</v>
      </c>
      <c r="L76" s="17">
        <f>Primarios!K66</f>
        <v>0</v>
      </c>
      <c r="M76" s="6"/>
      <c r="N76" s="6"/>
      <c r="O76" s="6"/>
    </row>
    <row r="77" spans="1:15" x14ac:dyDescent="0.25">
      <c r="A77" s="51">
        <v>0.20833333333333301</v>
      </c>
      <c r="B77" s="52">
        <f>Primarios!A67</f>
        <v>61</v>
      </c>
      <c r="C77" s="1">
        <f>Primarios!B67</f>
        <v>0</v>
      </c>
      <c r="D77" s="17">
        <f>Primarios!C67</f>
        <v>0</v>
      </c>
      <c r="E77" s="17">
        <f>Primarios!D67</f>
        <v>0</v>
      </c>
      <c r="F77" s="17">
        <f>Primarios!E67</f>
        <v>0</v>
      </c>
      <c r="G77" s="17">
        <f>Primarios!F67</f>
        <v>0</v>
      </c>
      <c r="H77" s="17">
        <f>Primarios!G67</f>
        <v>0</v>
      </c>
      <c r="I77" s="17">
        <f>Primarios!H67</f>
        <v>0</v>
      </c>
      <c r="J77" s="17">
        <f>Primarios!I67</f>
        <v>0</v>
      </c>
      <c r="K77" s="17">
        <f>Primarios!J67</f>
        <v>0</v>
      </c>
      <c r="L77" s="17">
        <f>Primarios!K67</f>
        <v>0</v>
      </c>
      <c r="M77" s="6"/>
      <c r="N77" s="6"/>
      <c r="O77" s="6"/>
    </row>
    <row r="78" spans="1:15" x14ac:dyDescent="0.25">
      <c r="A78" s="53">
        <v>0.211805555555556</v>
      </c>
      <c r="B78" s="52">
        <f>Primarios!A68</f>
        <v>62</v>
      </c>
      <c r="C78" s="1">
        <f>Primarios!B68</f>
        <v>0</v>
      </c>
      <c r="D78" s="17">
        <f>Primarios!C68</f>
        <v>0</v>
      </c>
      <c r="E78" s="17">
        <f>Primarios!D68</f>
        <v>0</v>
      </c>
      <c r="F78" s="17">
        <f>Primarios!E68</f>
        <v>0</v>
      </c>
      <c r="G78" s="17">
        <f>Primarios!F68</f>
        <v>0</v>
      </c>
      <c r="H78" s="17">
        <f>Primarios!G68</f>
        <v>0</v>
      </c>
      <c r="I78" s="17">
        <f>Primarios!H68</f>
        <v>0</v>
      </c>
      <c r="J78" s="17">
        <f>Primarios!I68</f>
        <v>0</v>
      </c>
      <c r="K78" s="17">
        <f>Primarios!J68</f>
        <v>0</v>
      </c>
      <c r="L78" s="17">
        <f>Primarios!K68</f>
        <v>0</v>
      </c>
      <c r="M78" s="6"/>
      <c r="N78" s="6"/>
      <c r="O78" s="6"/>
    </row>
    <row r="79" spans="1:15" x14ac:dyDescent="0.25">
      <c r="A79" s="51">
        <v>0.21527777777777801</v>
      </c>
      <c r="B79" s="52">
        <f>Primarios!A69</f>
        <v>63</v>
      </c>
      <c r="C79" s="1">
        <f>Primarios!B69</f>
        <v>0</v>
      </c>
      <c r="D79" s="17">
        <f>Primarios!C69</f>
        <v>0</v>
      </c>
      <c r="E79" s="17">
        <f>Primarios!D69</f>
        <v>0</v>
      </c>
      <c r="F79" s="17">
        <f>Primarios!E69</f>
        <v>0</v>
      </c>
      <c r="G79" s="17">
        <f>Primarios!F69</f>
        <v>0</v>
      </c>
      <c r="H79" s="17">
        <f>Primarios!G69</f>
        <v>0</v>
      </c>
      <c r="I79" s="17">
        <f>Primarios!H69</f>
        <v>0</v>
      </c>
      <c r="J79" s="17">
        <f>Primarios!I69</f>
        <v>0</v>
      </c>
      <c r="K79" s="17">
        <f>Primarios!J69</f>
        <v>0</v>
      </c>
      <c r="L79" s="17">
        <f>Primarios!K69</f>
        <v>0</v>
      </c>
      <c r="M79" s="6"/>
      <c r="N79" s="6"/>
      <c r="O79" s="6"/>
    </row>
    <row r="80" spans="1:15" x14ac:dyDescent="0.25">
      <c r="A80" s="53">
        <v>0.21875</v>
      </c>
      <c r="B80" s="52">
        <f>Primarios!A70</f>
        <v>64</v>
      </c>
      <c r="C80" s="1">
        <f>Primarios!B70</f>
        <v>0</v>
      </c>
      <c r="D80" s="17">
        <f>Primarios!C70</f>
        <v>0</v>
      </c>
      <c r="E80" s="17">
        <f>Primarios!D70</f>
        <v>0</v>
      </c>
      <c r="F80" s="17">
        <f>Primarios!E70</f>
        <v>0</v>
      </c>
      <c r="G80" s="17">
        <f>Primarios!F70</f>
        <v>0</v>
      </c>
      <c r="H80" s="17">
        <f>Primarios!G70</f>
        <v>0</v>
      </c>
      <c r="I80" s="17">
        <f>Primarios!H70</f>
        <v>0</v>
      </c>
      <c r="J80" s="17">
        <f>Primarios!I70</f>
        <v>0</v>
      </c>
      <c r="K80" s="17">
        <f>Primarios!J70</f>
        <v>0</v>
      </c>
      <c r="L80" s="17">
        <f>Primarios!K70</f>
        <v>0</v>
      </c>
      <c r="M80" s="6"/>
      <c r="N80" s="6"/>
      <c r="O80" s="6"/>
    </row>
    <row r="81" spans="1:15" x14ac:dyDescent="0.25">
      <c r="A81" s="51">
        <v>0.22222222222222199</v>
      </c>
      <c r="B81" s="52">
        <f>Primarios!A71</f>
        <v>65</v>
      </c>
      <c r="C81" s="1">
        <f>Primarios!B71</f>
        <v>0</v>
      </c>
      <c r="D81" s="17">
        <f>Primarios!C71</f>
        <v>0</v>
      </c>
      <c r="E81" s="17">
        <f>Primarios!D71</f>
        <v>0</v>
      </c>
      <c r="F81" s="17">
        <f>Primarios!E71</f>
        <v>0</v>
      </c>
      <c r="G81" s="17">
        <f>Primarios!F71</f>
        <v>0</v>
      </c>
      <c r="H81" s="17">
        <f>Primarios!G71</f>
        <v>0</v>
      </c>
      <c r="I81" s="17">
        <f>Primarios!H71</f>
        <v>0</v>
      </c>
      <c r="J81" s="17">
        <f>Primarios!I71</f>
        <v>0</v>
      </c>
      <c r="K81" s="17">
        <f>Primarios!J71</f>
        <v>0</v>
      </c>
      <c r="L81" s="17">
        <f>Primarios!K71</f>
        <v>0</v>
      </c>
      <c r="M81" s="6"/>
      <c r="N81" s="6"/>
      <c r="O81" s="6"/>
    </row>
    <row r="82" spans="1:15" x14ac:dyDescent="0.25">
      <c r="A82" s="53">
        <v>0.225694444444444</v>
      </c>
      <c r="B82" s="52">
        <f>Primarios!A72</f>
        <v>66</v>
      </c>
      <c r="C82" s="1">
        <f>Primarios!B72</f>
        <v>0</v>
      </c>
      <c r="D82" s="17">
        <f>Primarios!C72</f>
        <v>0</v>
      </c>
      <c r="E82" s="17">
        <f>Primarios!D72</f>
        <v>0</v>
      </c>
      <c r="F82" s="17">
        <f>Primarios!E72</f>
        <v>0</v>
      </c>
      <c r="G82" s="17">
        <f>Primarios!F72</f>
        <v>0</v>
      </c>
      <c r="H82" s="17">
        <f>Primarios!G72</f>
        <v>0</v>
      </c>
      <c r="I82" s="17">
        <f>Primarios!H72</f>
        <v>0</v>
      </c>
      <c r="J82" s="17">
        <f>Primarios!I72</f>
        <v>0</v>
      </c>
      <c r="K82" s="17">
        <f>Primarios!J72</f>
        <v>0</v>
      </c>
      <c r="L82" s="17">
        <f>Primarios!K72</f>
        <v>0</v>
      </c>
      <c r="M82" s="6"/>
      <c r="N82" s="6"/>
      <c r="O82" s="6"/>
    </row>
    <row r="83" spans="1:15" x14ac:dyDescent="0.25">
      <c r="A83" s="51">
        <v>0.22916666666666699</v>
      </c>
      <c r="B83" s="52">
        <f>Primarios!A73</f>
        <v>67</v>
      </c>
      <c r="C83" s="1">
        <f>Primarios!B73</f>
        <v>0</v>
      </c>
      <c r="D83" s="17">
        <f>Primarios!C73</f>
        <v>0</v>
      </c>
      <c r="E83" s="17">
        <f>Primarios!D73</f>
        <v>0</v>
      </c>
      <c r="F83" s="17">
        <f>Primarios!E73</f>
        <v>0</v>
      </c>
      <c r="G83" s="17">
        <f>Primarios!F73</f>
        <v>0</v>
      </c>
      <c r="H83" s="17">
        <f>Primarios!G73</f>
        <v>0</v>
      </c>
      <c r="I83" s="17">
        <f>Primarios!H73</f>
        <v>0</v>
      </c>
      <c r="J83" s="17">
        <f>Primarios!I73</f>
        <v>0</v>
      </c>
      <c r="K83" s="17">
        <f>Primarios!J73</f>
        <v>0</v>
      </c>
      <c r="L83" s="17">
        <f>Primarios!K73</f>
        <v>0</v>
      </c>
      <c r="M83" s="6"/>
      <c r="N83" s="6"/>
      <c r="O83" s="6"/>
    </row>
    <row r="84" spans="1:15" x14ac:dyDescent="0.25">
      <c r="A84" s="53">
        <v>0.23263888888888901</v>
      </c>
      <c r="B84" s="52">
        <f>Primarios!A74</f>
        <v>68</v>
      </c>
      <c r="C84" s="1">
        <f>Primarios!B74</f>
        <v>0</v>
      </c>
      <c r="D84" s="17">
        <f>Primarios!C74</f>
        <v>0</v>
      </c>
      <c r="E84" s="17">
        <f>Primarios!D74</f>
        <v>0</v>
      </c>
      <c r="F84" s="17">
        <f>Primarios!E74</f>
        <v>0</v>
      </c>
      <c r="G84" s="17">
        <f>Primarios!F74</f>
        <v>0</v>
      </c>
      <c r="H84" s="17">
        <f>Primarios!G74</f>
        <v>0</v>
      </c>
      <c r="I84" s="17">
        <f>Primarios!H74</f>
        <v>0</v>
      </c>
      <c r="J84" s="17">
        <f>Primarios!I74</f>
        <v>0</v>
      </c>
      <c r="K84" s="17">
        <f>Primarios!J74</f>
        <v>0</v>
      </c>
      <c r="L84" s="17">
        <f>Primarios!K74</f>
        <v>0</v>
      </c>
      <c r="M84" s="6"/>
      <c r="N84" s="6"/>
      <c r="O84" s="6"/>
    </row>
    <row r="85" spans="1:15" x14ac:dyDescent="0.25">
      <c r="A85" s="51">
        <v>0.23611111111111099</v>
      </c>
      <c r="B85" s="52">
        <f>Primarios!A75</f>
        <v>69</v>
      </c>
      <c r="C85" s="1">
        <f>Primarios!B75</f>
        <v>0</v>
      </c>
      <c r="D85" s="17">
        <f>Primarios!C75</f>
        <v>0</v>
      </c>
      <c r="E85" s="17">
        <f>Primarios!D75</f>
        <v>0</v>
      </c>
      <c r="F85" s="17">
        <f>Primarios!E75</f>
        <v>0</v>
      </c>
      <c r="G85" s="17">
        <f>Primarios!F75</f>
        <v>0</v>
      </c>
      <c r="H85" s="17">
        <f>Primarios!G75</f>
        <v>0</v>
      </c>
      <c r="I85" s="17">
        <f>Primarios!H75</f>
        <v>0</v>
      </c>
      <c r="J85" s="17">
        <f>Primarios!I75</f>
        <v>0</v>
      </c>
      <c r="K85" s="17">
        <f>Primarios!J75</f>
        <v>0</v>
      </c>
      <c r="L85" s="17">
        <f>Primarios!K75</f>
        <v>0</v>
      </c>
      <c r="M85" s="6"/>
      <c r="N85" s="6"/>
      <c r="O85" s="6"/>
    </row>
    <row r="86" spans="1:15" x14ac:dyDescent="0.25">
      <c r="A86" s="53">
        <v>0.23958333333333301</v>
      </c>
      <c r="B86" s="52">
        <f>Primarios!A76</f>
        <v>70</v>
      </c>
      <c r="C86" s="1">
        <f>Primarios!B76</f>
        <v>0</v>
      </c>
      <c r="D86" s="17">
        <f>Primarios!C76</f>
        <v>0</v>
      </c>
      <c r="E86" s="17">
        <f>Primarios!D76</f>
        <v>0</v>
      </c>
      <c r="F86" s="17">
        <f>Primarios!E76</f>
        <v>0</v>
      </c>
      <c r="G86" s="17">
        <f>Primarios!F76</f>
        <v>0</v>
      </c>
      <c r="H86" s="17">
        <f>Primarios!G76</f>
        <v>0</v>
      </c>
      <c r="I86" s="17">
        <f>Primarios!H76</f>
        <v>0</v>
      </c>
      <c r="J86" s="17">
        <f>Primarios!I76</f>
        <v>0</v>
      </c>
      <c r="K86" s="17">
        <f>Primarios!J76</f>
        <v>0</v>
      </c>
      <c r="L86" s="17">
        <f>Primarios!K76</f>
        <v>0</v>
      </c>
      <c r="M86" s="6"/>
      <c r="N86" s="6"/>
      <c r="O86" s="6"/>
    </row>
    <row r="87" spans="1:15" x14ac:dyDescent="0.25">
      <c r="A87" s="51">
        <v>0.243055555555556</v>
      </c>
      <c r="B87" s="52">
        <f>Primarios!A77</f>
        <v>71</v>
      </c>
      <c r="C87" s="1">
        <f>Primarios!B77</f>
        <v>0</v>
      </c>
      <c r="D87" s="17">
        <f>Primarios!C77</f>
        <v>0</v>
      </c>
      <c r="E87" s="17">
        <f>Primarios!D77</f>
        <v>0</v>
      </c>
      <c r="F87" s="17">
        <f>Primarios!E77</f>
        <v>0</v>
      </c>
      <c r="G87" s="17">
        <f>Primarios!F77</f>
        <v>0</v>
      </c>
      <c r="H87" s="17">
        <f>Primarios!G77</f>
        <v>0</v>
      </c>
      <c r="I87" s="17">
        <f>Primarios!H77</f>
        <v>0</v>
      </c>
      <c r="J87" s="17">
        <f>Primarios!I77</f>
        <v>0</v>
      </c>
      <c r="K87" s="17">
        <f>Primarios!J77</f>
        <v>0</v>
      </c>
      <c r="L87" s="17">
        <f>Primarios!K77</f>
        <v>0</v>
      </c>
      <c r="M87" s="6"/>
      <c r="N87" s="6"/>
      <c r="O87" s="6"/>
    </row>
    <row r="88" spans="1:15" x14ac:dyDescent="0.25">
      <c r="A88" s="53">
        <v>0.24652777777777801</v>
      </c>
      <c r="B88" s="52">
        <f>Primarios!A78</f>
        <v>72</v>
      </c>
      <c r="C88" s="1">
        <f>Primarios!B78</f>
        <v>0</v>
      </c>
      <c r="D88" s="17">
        <f>Primarios!C78</f>
        <v>0</v>
      </c>
      <c r="E88" s="17">
        <f>Primarios!D78</f>
        <v>0</v>
      </c>
      <c r="F88" s="17">
        <f>Primarios!E78</f>
        <v>0</v>
      </c>
      <c r="G88" s="17">
        <f>Primarios!F78</f>
        <v>0</v>
      </c>
      <c r="H88" s="17">
        <f>Primarios!G78</f>
        <v>0</v>
      </c>
      <c r="I88" s="17">
        <f>Primarios!H78</f>
        <v>0</v>
      </c>
      <c r="J88" s="17">
        <f>Primarios!I78</f>
        <v>0</v>
      </c>
      <c r="K88" s="17">
        <f>Primarios!J78</f>
        <v>0</v>
      </c>
      <c r="L88" s="17">
        <f>Primarios!K78</f>
        <v>0</v>
      </c>
      <c r="M88" s="6"/>
      <c r="N88" s="6"/>
      <c r="O88" s="6"/>
    </row>
    <row r="89" spans="1:15" x14ac:dyDescent="0.25">
      <c r="A89" s="51">
        <v>0.25</v>
      </c>
      <c r="B89" s="52">
        <f>Primarios!A79</f>
        <v>73</v>
      </c>
      <c r="C89" s="1">
        <f>Primarios!B79</f>
        <v>0</v>
      </c>
      <c r="D89" s="17">
        <f>Primarios!C79</f>
        <v>0</v>
      </c>
      <c r="E89" s="17">
        <f>Primarios!D79</f>
        <v>0</v>
      </c>
      <c r="F89" s="17">
        <f>Primarios!E79</f>
        <v>0</v>
      </c>
      <c r="G89" s="17">
        <f>Primarios!F79</f>
        <v>0</v>
      </c>
      <c r="H89" s="17">
        <f>Primarios!G79</f>
        <v>0</v>
      </c>
      <c r="I89" s="17">
        <f>Primarios!H79</f>
        <v>0</v>
      </c>
      <c r="J89" s="17">
        <f>Primarios!I79</f>
        <v>0</v>
      </c>
      <c r="K89" s="17">
        <f>Primarios!J79</f>
        <v>0</v>
      </c>
      <c r="L89" s="17">
        <f>Primarios!K79</f>
        <v>0</v>
      </c>
      <c r="M89" s="6"/>
      <c r="N89" s="6"/>
      <c r="O89" s="6"/>
    </row>
    <row r="90" spans="1:15" x14ac:dyDescent="0.25">
      <c r="A90" s="53">
        <v>0.25347222222222199</v>
      </c>
      <c r="B90" s="52">
        <f>Primarios!A80</f>
        <v>74</v>
      </c>
      <c r="C90" s="1">
        <f>Primarios!B80</f>
        <v>0</v>
      </c>
      <c r="D90" s="17">
        <f>Primarios!C80</f>
        <v>0</v>
      </c>
      <c r="E90" s="17">
        <f>Primarios!D80</f>
        <v>0</v>
      </c>
      <c r="F90" s="17">
        <f>Primarios!E80</f>
        <v>0</v>
      </c>
      <c r="G90" s="17">
        <f>Primarios!F80</f>
        <v>0</v>
      </c>
      <c r="H90" s="17">
        <f>Primarios!G80</f>
        <v>0</v>
      </c>
      <c r="I90" s="17">
        <f>Primarios!H80</f>
        <v>0</v>
      </c>
      <c r="J90" s="17">
        <f>Primarios!I80</f>
        <v>0</v>
      </c>
      <c r="K90" s="17">
        <f>Primarios!J80</f>
        <v>0</v>
      </c>
      <c r="L90" s="17">
        <f>Primarios!K80</f>
        <v>0</v>
      </c>
      <c r="M90" s="6"/>
      <c r="N90" s="6"/>
      <c r="O90" s="6"/>
    </row>
    <row r="91" spans="1:15" x14ac:dyDescent="0.25">
      <c r="A91" s="51">
        <v>0.25694444444444398</v>
      </c>
      <c r="B91" s="52">
        <f>Primarios!A81</f>
        <v>75</v>
      </c>
      <c r="C91" s="1">
        <f>Primarios!B81</f>
        <v>0</v>
      </c>
      <c r="D91" s="17">
        <f>Primarios!C81</f>
        <v>0</v>
      </c>
      <c r="E91" s="17">
        <f>Primarios!D81</f>
        <v>0</v>
      </c>
      <c r="F91" s="17">
        <f>Primarios!E81</f>
        <v>0</v>
      </c>
      <c r="G91" s="17">
        <f>Primarios!F81</f>
        <v>0</v>
      </c>
      <c r="H91" s="17">
        <f>Primarios!G81</f>
        <v>0</v>
      </c>
      <c r="I91" s="17">
        <f>Primarios!H81</f>
        <v>0</v>
      </c>
      <c r="J91" s="17">
        <f>Primarios!I81</f>
        <v>0</v>
      </c>
      <c r="K91" s="17">
        <f>Primarios!J81</f>
        <v>0</v>
      </c>
      <c r="L91" s="17">
        <f>Primarios!K81</f>
        <v>0</v>
      </c>
      <c r="M91" s="6"/>
      <c r="N91" s="6"/>
      <c r="O91" s="6"/>
    </row>
    <row r="92" spans="1:15" x14ac:dyDescent="0.25">
      <c r="A92" s="53">
        <v>0.26041666666666702</v>
      </c>
      <c r="B92" s="52">
        <f>Primarios!A82</f>
        <v>76</v>
      </c>
      <c r="C92" s="1">
        <f>Primarios!B82</f>
        <v>0</v>
      </c>
      <c r="D92" s="17">
        <f>Primarios!C82</f>
        <v>0</v>
      </c>
      <c r="E92" s="17">
        <f>Primarios!D82</f>
        <v>0</v>
      </c>
      <c r="F92" s="17">
        <f>Primarios!E82</f>
        <v>0</v>
      </c>
      <c r="G92" s="17">
        <f>Primarios!F82</f>
        <v>0</v>
      </c>
      <c r="H92" s="17">
        <f>Primarios!G82</f>
        <v>0</v>
      </c>
      <c r="I92" s="17">
        <f>Primarios!H82</f>
        <v>0</v>
      </c>
      <c r="J92" s="17">
        <f>Primarios!I82</f>
        <v>0</v>
      </c>
      <c r="K92" s="17">
        <f>Primarios!J82</f>
        <v>0</v>
      </c>
      <c r="L92" s="17">
        <f>Primarios!K82</f>
        <v>0</v>
      </c>
      <c r="M92" s="6"/>
      <c r="N92" s="6"/>
      <c r="O92" s="6"/>
    </row>
    <row r="93" spans="1:15" x14ac:dyDescent="0.25">
      <c r="A93" s="51">
        <v>0.26388888888888901</v>
      </c>
      <c r="B93" s="52">
        <f>Primarios!A83</f>
        <v>77</v>
      </c>
      <c r="C93" s="1">
        <f>Primarios!B83</f>
        <v>0</v>
      </c>
      <c r="D93" s="17">
        <f>Primarios!C83</f>
        <v>0</v>
      </c>
      <c r="E93" s="17">
        <f>Primarios!D83</f>
        <v>0</v>
      </c>
      <c r="F93" s="17">
        <f>Primarios!E83</f>
        <v>0</v>
      </c>
      <c r="G93" s="17">
        <f>Primarios!F83</f>
        <v>0</v>
      </c>
      <c r="H93" s="17">
        <f>Primarios!G83</f>
        <v>0</v>
      </c>
      <c r="I93" s="17">
        <f>Primarios!H83</f>
        <v>0</v>
      </c>
      <c r="J93" s="17">
        <f>Primarios!I83</f>
        <v>0</v>
      </c>
      <c r="K93" s="17">
        <f>Primarios!J83</f>
        <v>0</v>
      </c>
      <c r="L93" s="17">
        <f>Primarios!K83</f>
        <v>0</v>
      </c>
      <c r="M93" s="6"/>
      <c r="N93" s="6"/>
      <c r="O93" s="6"/>
    </row>
    <row r="94" spans="1:15" x14ac:dyDescent="0.25">
      <c r="A94" s="53">
        <v>0.26736111111111099</v>
      </c>
      <c r="B94" s="52">
        <f>Primarios!A84</f>
        <v>78</v>
      </c>
      <c r="C94" s="1">
        <f>Primarios!B84</f>
        <v>0</v>
      </c>
      <c r="D94" s="17">
        <f>Primarios!C84</f>
        <v>0</v>
      </c>
      <c r="E94" s="17">
        <f>Primarios!D84</f>
        <v>0</v>
      </c>
      <c r="F94" s="17">
        <f>Primarios!E84</f>
        <v>0</v>
      </c>
      <c r="G94" s="17">
        <f>Primarios!F84</f>
        <v>0</v>
      </c>
      <c r="H94" s="17">
        <f>Primarios!G84</f>
        <v>0</v>
      </c>
      <c r="I94" s="17">
        <f>Primarios!H84</f>
        <v>0</v>
      </c>
      <c r="J94" s="17">
        <f>Primarios!I84</f>
        <v>0</v>
      </c>
      <c r="K94" s="17">
        <f>Primarios!J84</f>
        <v>0</v>
      </c>
      <c r="L94" s="17">
        <f>Primarios!K84</f>
        <v>0</v>
      </c>
      <c r="M94" s="6"/>
      <c r="N94" s="6"/>
      <c r="O94" s="6"/>
    </row>
    <row r="95" spans="1:15" x14ac:dyDescent="0.25">
      <c r="A95" s="51">
        <v>0.27083333333333298</v>
      </c>
      <c r="B95" s="52">
        <f>Primarios!A85</f>
        <v>79</v>
      </c>
      <c r="C95" s="1">
        <f>Primarios!B85</f>
        <v>0</v>
      </c>
      <c r="D95" s="17">
        <f>Primarios!C85</f>
        <v>0</v>
      </c>
      <c r="E95" s="17">
        <f>Primarios!D85</f>
        <v>0</v>
      </c>
      <c r="F95" s="17">
        <f>Primarios!E85</f>
        <v>0</v>
      </c>
      <c r="G95" s="17">
        <f>Primarios!F85</f>
        <v>0</v>
      </c>
      <c r="H95" s="17">
        <f>Primarios!G85</f>
        <v>0</v>
      </c>
      <c r="I95" s="17">
        <f>Primarios!H85</f>
        <v>0</v>
      </c>
      <c r="J95" s="17">
        <f>Primarios!I85</f>
        <v>0</v>
      </c>
      <c r="K95" s="17">
        <f>Primarios!J85</f>
        <v>0</v>
      </c>
      <c r="L95" s="17">
        <f>Primarios!K85</f>
        <v>0</v>
      </c>
      <c r="M95" s="6"/>
      <c r="N95" s="6"/>
      <c r="O95" s="6"/>
    </row>
    <row r="96" spans="1:15" x14ac:dyDescent="0.25">
      <c r="A96" s="53">
        <v>0.27430555555555602</v>
      </c>
      <c r="B96" s="52">
        <f>Primarios!A86</f>
        <v>80</v>
      </c>
      <c r="C96" s="1">
        <f>Primarios!B86</f>
        <v>0</v>
      </c>
      <c r="D96" s="17">
        <f>Primarios!C86</f>
        <v>0</v>
      </c>
      <c r="E96" s="17">
        <f>Primarios!D86</f>
        <v>0</v>
      </c>
      <c r="F96" s="17">
        <f>Primarios!E86</f>
        <v>0</v>
      </c>
      <c r="G96" s="17">
        <f>Primarios!F86</f>
        <v>0</v>
      </c>
      <c r="H96" s="17">
        <f>Primarios!G86</f>
        <v>0</v>
      </c>
      <c r="I96" s="17">
        <f>Primarios!H86</f>
        <v>0</v>
      </c>
      <c r="J96" s="17">
        <f>Primarios!I86</f>
        <v>0</v>
      </c>
      <c r="K96" s="17">
        <f>Primarios!J86</f>
        <v>0</v>
      </c>
      <c r="L96" s="17">
        <f>Primarios!K86</f>
        <v>0</v>
      </c>
      <c r="M96" s="6"/>
      <c r="N96" s="6"/>
      <c r="O96" s="6"/>
    </row>
    <row r="97" spans="1:15" x14ac:dyDescent="0.25">
      <c r="A97" s="51">
        <v>0.27777777777777801</v>
      </c>
      <c r="B97" s="52">
        <f>Primarios!A87</f>
        <v>81</v>
      </c>
      <c r="C97" s="1">
        <f>Primarios!B87</f>
        <v>0</v>
      </c>
      <c r="D97" s="17">
        <f>Primarios!C87</f>
        <v>0</v>
      </c>
      <c r="E97" s="17">
        <f>Primarios!D87</f>
        <v>0</v>
      </c>
      <c r="F97" s="17">
        <f>Primarios!E87</f>
        <v>0</v>
      </c>
      <c r="G97" s="17">
        <f>Primarios!F87</f>
        <v>0</v>
      </c>
      <c r="H97" s="17">
        <f>Primarios!G87</f>
        <v>0</v>
      </c>
      <c r="I97" s="17">
        <f>Primarios!H87</f>
        <v>0</v>
      </c>
      <c r="J97" s="17">
        <f>Primarios!I87</f>
        <v>0</v>
      </c>
      <c r="K97" s="17">
        <f>Primarios!J87</f>
        <v>0</v>
      </c>
      <c r="L97" s="17">
        <f>Primarios!K87</f>
        <v>0</v>
      </c>
      <c r="M97" s="6"/>
      <c r="N97" s="6"/>
      <c r="O97" s="6"/>
    </row>
    <row r="98" spans="1:15" x14ac:dyDescent="0.25">
      <c r="A98" s="53">
        <v>0.28125</v>
      </c>
      <c r="B98" s="52">
        <f>Primarios!A88</f>
        <v>82</v>
      </c>
      <c r="C98" s="1">
        <f>Primarios!B88</f>
        <v>0</v>
      </c>
      <c r="D98" s="17">
        <f>Primarios!C88</f>
        <v>0</v>
      </c>
      <c r="E98" s="17">
        <f>Primarios!D88</f>
        <v>0</v>
      </c>
      <c r="F98" s="17">
        <f>Primarios!E88</f>
        <v>0</v>
      </c>
      <c r="G98" s="17">
        <f>Primarios!F88</f>
        <v>0</v>
      </c>
      <c r="H98" s="17">
        <f>Primarios!G88</f>
        <v>0</v>
      </c>
      <c r="I98" s="17">
        <f>Primarios!H88</f>
        <v>0</v>
      </c>
      <c r="J98" s="17">
        <f>Primarios!I88</f>
        <v>0</v>
      </c>
      <c r="K98" s="17">
        <f>Primarios!J88</f>
        <v>0</v>
      </c>
      <c r="L98" s="17">
        <f>Primarios!K88</f>
        <v>0</v>
      </c>
      <c r="M98" s="6"/>
      <c r="N98" s="6"/>
      <c r="O98" s="6"/>
    </row>
    <row r="99" spans="1:15" x14ac:dyDescent="0.25">
      <c r="A99" s="51">
        <v>0.28472222222222199</v>
      </c>
      <c r="B99" s="52">
        <f>Primarios!A89</f>
        <v>83</v>
      </c>
      <c r="C99" s="1">
        <f>Primarios!B89</f>
        <v>0</v>
      </c>
      <c r="D99" s="17">
        <f>Primarios!C89</f>
        <v>0</v>
      </c>
      <c r="E99" s="17">
        <f>Primarios!D89</f>
        <v>0</v>
      </c>
      <c r="F99" s="17">
        <f>Primarios!E89</f>
        <v>0</v>
      </c>
      <c r="G99" s="17">
        <f>Primarios!F89</f>
        <v>0</v>
      </c>
      <c r="H99" s="17">
        <f>Primarios!G89</f>
        <v>0</v>
      </c>
      <c r="I99" s="17">
        <f>Primarios!H89</f>
        <v>0</v>
      </c>
      <c r="J99" s="17">
        <f>Primarios!I89</f>
        <v>0</v>
      </c>
      <c r="K99" s="17">
        <f>Primarios!J89</f>
        <v>0</v>
      </c>
      <c r="L99" s="17">
        <f>Primarios!K89</f>
        <v>0</v>
      </c>
      <c r="M99" s="6"/>
      <c r="N99" s="6"/>
      <c r="O99" s="6"/>
    </row>
    <row r="100" spans="1:15" x14ac:dyDescent="0.25">
      <c r="A100" s="53">
        <v>0.28819444444444398</v>
      </c>
      <c r="B100" s="52">
        <f>Primarios!A90</f>
        <v>84</v>
      </c>
      <c r="C100" s="1">
        <f>Primarios!B90</f>
        <v>0</v>
      </c>
      <c r="D100" s="17">
        <f>Primarios!C90</f>
        <v>0</v>
      </c>
      <c r="E100" s="17">
        <f>Primarios!D90</f>
        <v>0</v>
      </c>
      <c r="F100" s="17">
        <f>Primarios!E90</f>
        <v>0</v>
      </c>
      <c r="G100" s="17">
        <f>Primarios!F90</f>
        <v>0</v>
      </c>
      <c r="H100" s="17">
        <f>Primarios!G90</f>
        <v>0</v>
      </c>
      <c r="I100" s="17">
        <f>Primarios!H90</f>
        <v>0</v>
      </c>
      <c r="J100" s="17">
        <f>Primarios!I90</f>
        <v>0</v>
      </c>
      <c r="K100" s="17">
        <f>Primarios!J90</f>
        <v>0</v>
      </c>
      <c r="L100" s="17">
        <f>Primarios!K90</f>
        <v>0</v>
      </c>
      <c r="M100" s="6"/>
      <c r="N100" s="6"/>
      <c r="O100" s="6"/>
    </row>
    <row r="101" spans="1:15" x14ac:dyDescent="0.25">
      <c r="A101" s="51">
        <v>0.29166666666666702</v>
      </c>
      <c r="B101" s="52">
        <f>Primarios!A91</f>
        <v>85</v>
      </c>
      <c r="C101" s="1">
        <f>Primarios!B91</f>
        <v>0</v>
      </c>
      <c r="D101" s="17">
        <f>Primarios!C91</f>
        <v>0</v>
      </c>
      <c r="E101" s="17">
        <f>Primarios!D91</f>
        <v>0</v>
      </c>
      <c r="F101" s="17">
        <f>Primarios!E91</f>
        <v>0</v>
      </c>
      <c r="G101" s="17">
        <f>Primarios!F91</f>
        <v>0</v>
      </c>
      <c r="H101" s="17">
        <f>Primarios!G91</f>
        <v>0</v>
      </c>
      <c r="I101" s="17">
        <f>Primarios!H91</f>
        <v>0</v>
      </c>
      <c r="J101" s="17">
        <f>Primarios!I91</f>
        <v>0</v>
      </c>
      <c r="K101" s="17">
        <f>Primarios!J91</f>
        <v>0</v>
      </c>
      <c r="L101" s="17">
        <f>Primarios!K91</f>
        <v>0</v>
      </c>
      <c r="M101" s="6"/>
      <c r="N101" s="6"/>
      <c r="O101" s="6"/>
    </row>
    <row r="102" spans="1:15" x14ac:dyDescent="0.25">
      <c r="A102" s="53">
        <v>0.29513888888888901</v>
      </c>
      <c r="B102" s="52">
        <f>Primarios!A92</f>
        <v>86</v>
      </c>
      <c r="C102" s="1">
        <f>Primarios!B92</f>
        <v>0</v>
      </c>
      <c r="D102" s="17">
        <f>Primarios!C92</f>
        <v>0</v>
      </c>
      <c r="E102" s="17">
        <f>Primarios!D92</f>
        <v>0</v>
      </c>
      <c r="F102" s="17">
        <f>Primarios!E92</f>
        <v>0</v>
      </c>
      <c r="G102" s="17">
        <f>Primarios!F92</f>
        <v>0</v>
      </c>
      <c r="H102" s="17">
        <f>Primarios!G92</f>
        <v>0</v>
      </c>
      <c r="I102" s="17">
        <f>Primarios!H92</f>
        <v>0</v>
      </c>
      <c r="J102" s="17">
        <f>Primarios!I92</f>
        <v>0</v>
      </c>
      <c r="K102" s="17">
        <f>Primarios!J92</f>
        <v>0</v>
      </c>
      <c r="L102" s="17">
        <f>Primarios!K92</f>
        <v>0</v>
      </c>
      <c r="M102" s="6"/>
      <c r="N102" s="6"/>
      <c r="O102" s="6"/>
    </row>
    <row r="103" spans="1:15" x14ac:dyDescent="0.25">
      <c r="A103" s="51">
        <v>0.29861111111111099</v>
      </c>
      <c r="B103" s="52">
        <f>Primarios!A93</f>
        <v>87</v>
      </c>
      <c r="C103" s="1">
        <f>Primarios!B93</f>
        <v>0</v>
      </c>
      <c r="D103" s="17">
        <f>Primarios!C93</f>
        <v>0</v>
      </c>
      <c r="E103" s="17">
        <f>Primarios!D93</f>
        <v>0</v>
      </c>
      <c r="F103" s="17">
        <f>Primarios!E93</f>
        <v>0</v>
      </c>
      <c r="G103" s="17">
        <f>Primarios!F93</f>
        <v>0</v>
      </c>
      <c r="H103" s="17">
        <f>Primarios!G93</f>
        <v>0</v>
      </c>
      <c r="I103" s="17">
        <f>Primarios!H93</f>
        <v>0</v>
      </c>
      <c r="J103" s="17">
        <f>Primarios!I93</f>
        <v>0</v>
      </c>
      <c r="K103" s="17">
        <f>Primarios!J93</f>
        <v>0</v>
      </c>
      <c r="L103" s="17">
        <f>Primarios!K93</f>
        <v>0</v>
      </c>
      <c r="M103" s="6"/>
      <c r="N103" s="6"/>
      <c r="O103" s="6"/>
    </row>
    <row r="104" spans="1:15" x14ac:dyDescent="0.25">
      <c r="A104" s="53">
        <v>0.30208333333333298</v>
      </c>
      <c r="B104" s="52">
        <f>Primarios!A94</f>
        <v>88</v>
      </c>
      <c r="C104" s="1">
        <f>Primarios!B94</f>
        <v>0</v>
      </c>
      <c r="D104" s="17">
        <f>Primarios!C94</f>
        <v>0</v>
      </c>
      <c r="E104" s="17">
        <f>Primarios!D94</f>
        <v>0</v>
      </c>
      <c r="F104" s="17">
        <f>Primarios!E94</f>
        <v>0</v>
      </c>
      <c r="G104" s="17">
        <f>Primarios!F94</f>
        <v>0</v>
      </c>
      <c r="H104" s="17">
        <f>Primarios!G94</f>
        <v>0</v>
      </c>
      <c r="I104" s="17">
        <f>Primarios!H94</f>
        <v>0</v>
      </c>
      <c r="J104" s="17">
        <f>Primarios!I94</f>
        <v>0</v>
      </c>
      <c r="K104" s="17">
        <f>Primarios!J94</f>
        <v>0</v>
      </c>
      <c r="L104" s="17">
        <f>Primarios!K94</f>
        <v>0</v>
      </c>
      <c r="M104" s="6"/>
      <c r="N104" s="6"/>
      <c r="O104" s="6"/>
    </row>
    <row r="105" spans="1:15" x14ac:dyDescent="0.25">
      <c r="A105" s="51">
        <v>0.30555555555555602</v>
      </c>
      <c r="B105" s="52">
        <f>Primarios!A95</f>
        <v>89</v>
      </c>
      <c r="C105" s="1">
        <f>Primarios!B95</f>
        <v>0</v>
      </c>
      <c r="D105" s="17">
        <f>Primarios!C95</f>
        <v>0</v>
      </c>
      <c r="E105" s="17">
        <f>Primarios!D95</f>
        <v>0</v>
      </c>
      <c r="F105" s="17">
        <f>Primarios!E95</f>
        <v>0</v>
      </c>
      <c r="G105" s="17">
        <f>Primarios!F95</f>
        <v>0</v>
      </c>
      <c r="H105" s="17">
        <f>Primarios!G95</f>
        <v>0</v>
      </c>
      <c r="I105" s="17">
        <f>Primarios!H95</f>
        <v>0</v>
      </c>
      <c r="J105" s="17">
        <f>Primarios!I95</f>
        <v>0</v>
      </c>
      <c r="K105" s="17">
        <f>Primarios!J95</f>
        <v>0</v>
      </c>
      <c r="L105" s="17">
        <f>Primarios!K95</f>
        <v>0</v>
      </c>
      <c r="M105" s="6"/>
      <c r="N105" s="6"/>
      <c r="O105" s="6"/>
    </row>
    <row r="106" spans="1:15" x14ac:dyDescent="0.25">
      <c r="A106" s="53">
        <v>0.30902777777777801</v>
      </c>
      <c r="B106" s="52">
        <f>Primarios!A96</f>
        <v>90</v>
      </c>
      <c r="C106" s="1">
        <f>Primarios!B96</f>
        <v>0</v>
      </c>
      <c r="D106" s="17">
        <f>Primarios!C96</f>
        <v>0</v>
      </c>
      <c r="E106" s="17">
        <f>Primarios!D96</f>
        <v>0</v>
      </c>
      <c r="F106" s="17">
        <f>Primarios!E96</f>
        <v>0</v>
      </c>
      <c r="G106" s="17">
        <f>Primarios!F96</f>
        <v>0</v>
      </c>
      <c r="H106" s="17">
        <f>Primarios!G96</f>
        <v>0</v>
      </c>
      <c r="I106" s="17">
        <f>Primarios!H96</f>
        <v>0</v>
      </c>
      <c r="J106" s="17">
        <f>Primarios!I96</f>
        <v>0</v>
      </c>
      <c r="K106" s="17">
        <f>Primarios!J96</f>
        <v>0</v>
      </c>
      <c r="L106" s="17">
        <f>Primarios!K96</f>
        <v>0</v>
      </c>
      <c r="M106" s="6"/>
      <c r="N106" s="6"/>
      <c r="O106" s="6"/>
    </row>
    <row r="107" spans="1:15" x14ac:dyDescent="0.25">
      <c r="A107" s="51">
        <v>0.3125</v>
      </c>
      <c r="B107" s="52">
        <f>Primarios!A97</f>
        <v>91</v>
      </c>
      <c r="C107" s="1">
        <f>Primarios!B97</f>
        <v>0</v>
      </c>
      <c r="D107" s="17">
        <f>Primarios!C97</f>
        <v>0</v>
      </c>
      <c r="E107" s="17">
        <f>Primarios!D97</f>
        <v>0</v>
      </c>
      <c r="F107" s="17">
        <f>Primarios!E97</f>
        <v>0</v>
      </c>
      <c r="G107" s="17">
        <f>Primarios!F97</f>
        <v>0</v>
      </c>
      <c r="H107" s="17">
        <f>Primarios!G97</f>
        <v>0</v>
      </c>
      <c r="I107" s="17">
        <f>Primarios!H97</f>
        <v>0</v>
      </c>
      <c r="J107" s="17">
        <f>Primarios!I97</f>
        <v>0</v>
      </c>
      <c r="K107" s="17">
        <f>Primarios!J97</f>
        <v>0</v>
      </c>
      <c r="L107" s="17">
        <f>Primarios!K97</f>
        <v>0</v>
      </c>
      <c r="M107" s="6"/>
      <c r="N107" s="6"/>
      <c r="O107" s="6"/>
    </row>
    <row r="108" spans="1:15" x14ac:dyDescent="0.25">
      <c r="A108" s="53">
        <v>0.31597222222222199</v>
      </c>
      <c r="B108" s="52">
        <f>Primarios!A98</f>
        <v>92</v>
      </c>
      <c r="C108" s="1">
        <f>Primarios!B98</f>
        <v>0</v>
      </c>
      <c r="D108" s="17">
        <f>Primarios!C98</f>
        <v>0</v>
      </c>
      <c r="E108" s="17">
        <f>Primarios!D98</f>
        <v>0</v>
      </c>
      <c r="F108" s="17">
        <f>Primarios!E98</f>
        <v>0</v>
      </c>
      <c r="G108" s="17">
        <f>Primarios!F98</f>
        <v>0</v>
      </c>
      <c r="H108" s="17">
        <f>Primarios!G98</f>
        <v>0</v>
      </c>
      <c r="I108" s="17">
        <f>Primarios!H98</f>
        <v>0</v>
      </c>
      <c r="J108" s="17">
        <f>Primarios!I98</f>
        <v>0</v>
      </c>
      <c r="K108" s="17">
        <f>Primarios!J98</f>
        <v>0</v>
      </c>
      <c r="L108" s="17">
        <f>Primarios!K98</f>
        <v>0</v>
      </c>
      <c r="M108" s="6"/>
      <c r="N108" s="6"/>
      <c r="O108" s="6"/>
    </row>
    <row r="109" spans="1:15" x14ac:dyDescent="0.25">
      <c r="A109" s="51">
        <v>0.31944444444444398</v>
      </c>
      <c r="B109" s="52">
        <f>Primarios!A99</f>
        <v>93</v>
      </c>
      <c r="C109" s="1">
        <f>Primarios!B99</f>
        <v>0</v>
      </c>
      <c r="D109" s="17">
        <f>Primarios!C99</f>
        <v>0</v>
      </c>
      <c r="E109" s="17">
        <f>Primarios!D99</f>
        <v>0</v>
      </c>
      <c r="F109" s="17">
        <f>Primarios!E99</f>
        <v>0</v>
      </c>
      <c r="G109" s="17">
        <f>Primarios!F99</f>
        <v>0</v>
      </c>
      <c r="H109" s="17">
        <f>Primarios!G99</f>
        <v>0</v>
      </c>
      <c r="I109" s="17">
        <f>Primarios!H99</f>
        <v>0</v>
      </c>
      <c r="J109" s="17">
        <f>Primarios!I99</f>
        <v>0</v>
      </c>
      <c r="K109" s="17">
        <f>Primarios!J99</f>
        <v>0</v>
      </c>
      <c r="L109" s="17">
        <f>Primarios!K99</f>
        <v>0</v>
      </c>
      <c r="M109" s="6"/>
      <c r="N109" s="6"/>
      <c r="O109" s="6"/>
    </row>
    <row r="110" spans="1:15" x14ac:dyDescent="0.25">
      <c r="A110" s="53">
        <v>0.32291666666666702</v>
      </c>
      <c r="B110" s="52">
        <f>Primarios!A100</f>
        <v>94</v>
      </c>
      <c r="C110" s="1">
        <f>Primarios!B100</f>
        <v>0</v>
      </c>
      <c r="D110" s="17">
        <f>Primarios!C100</f>
        <v>0</v>
      </c>
      <c r="E110" s="17">
        <f>Primarios!D100</f>
        <v>0</v>
      </c>
      <c r="F110" s="17">
        <f>Primarios!E100</f>
        <v>0</v>
      </c>
      <c r="G110" s="17">
        <f>Primarios!F100</f>
        <v>0</v>
      </c>
      <c r="H110" s="17">
        <f>Primarios!G100</f>
        <v>0</v>
      </c>
      <c r="I110" s="17">
        <f>Primarios!H100</f>
        <v>0</v>
      </c>
      <c r="J110" s="17">
        <f>Primarios!I100</f>
        <v>0</v>
      </c>
      <c r="K110" s="17">
        <f>Primarios!J100</f>
        <v>0</v>
      </c>
      <c r="L110" s="17">
        <f>Primarios!K100</f>
        <v>0</v>
      </c>
      <c r="M110" s="6"/>
      <c r="N110" s="6"/>
      <c r="O110" s="6"/>
    </row>
    <row r="111" spans="1:15" x14ac:dyDescent="0.25">
      <c r="A111" s="51">
        <v>0.32638888888888901</v>
      </c>
      <c r="B111" s="52">
        <f>Primarios!A101</f>
        <v>95</v>
      </c>
      <c r="C111" s="1">
        <f>Primarios!B101</f>
        <v>0</v>
      </c>
      <c r="D111" s="17">
        <f>Primarios!C101</f>
        <v>0</v>
      </c>
      <c r="E111" s="17">
        <f>Primarios!D101</f>
        <v>0</v>
      </c>
      <c r="F111" s="17">
        <f>Primarios!E101</f>
        <v>0</v>
      </c>
      <c r="G111" s="17">
        <f>Primarios!F101</f>
        <v>0</v>
      </c>
      <c r="H111" s="17">
        <f>Primarios!G101</f>
        <v>0</v>
      </c>
      <c r="I111" s="17">
        <f>Primarios!H101</f>
        <v>0</v>
      </c>
      <c r="J111" s="17">
        <f>Primarios!I101</f>
        <v>0</v>
      </c>
      <c r="K111" s="17">
        <f>Primarios!J101</f>
        <v>0</v>
      </c>
      <c r="L111" s="17">
        <f>Primarios!K101</f>
        <v>0</v>
      </c>
      <c r="M111" s="6"/>
      <c r="N111" s="6"/>
      <c r="O111" s="6"/>
    </row>
    <row r="112" spans="1:15" x14ac:dyDescent="0.25">
      <c r="A112" s="53">
        <v>0.32986111111111099</v>
      </c>
      <c r="B112" s="52">
        <f>Primarios!A102</f>
        <v>96</v>
      </c>
      <c r="C112" s="1">
        <f>Primarios!B102</f>
        <v>0</v>
      </c>
      <c r="D112" s="17">
        <f>Primarios!C102</f>
        <v>0</v>
      </c>
      <c r="E112" s="17">
        <f>Primarios!D102</f>
        <v>0</v>
      </c>
      <c r="F112" s="17">
        <f>Primarios!E102</f>
        <v>0</v>
      </c>
      <c r="G112" s="17">
        <f>Primarios!F102</f>
        <v>0</v>
      </c>
      <c r="H112" s="17">
        <f>Primarios!G102</f>
        <v>0</v>
      </c>
      <c r="I112" s="17">
        <f>Primarios!H102</f>
        <v>0</v>
      </c>
      <c r="J112" s="17">
        <f>Primarios!I102</f>
        <v>0</v>
      </c>
      <c r="K112" s="17">
        <f>Primarios!J102</f>
        <v>0</v>
      </c>
      <c r="L112" s="17">
        <f>Primarios!K102</f>
        <v>0</v>
      </c>
      <c r="M112" s="6"/>
      <c r="N112" s="6"/>
      <c r="O112" s="6"/>
    </row>
    <row r="113" spans="1:15" x14ac:dyDescent="0.25">
      <c r="A113" s="51">
        <v>0.33333333333333298</v>
      </c>
      <c r="B113" s="52">
        <f>Primarios!A103</f>
        <v>97</v>
      </c>
      <c r="C113" s="1">
        <f>Primarios!B103</f>
        <v>0</v>
      </c>
      <c r="D113" s="17">
        <f>Primarios!C103</f>
        <v>0</v>
      </c>
      <c r="E113" s="17">
        <f>Primarios!D103</f>
        <v>0</v>
      </c>
      <c r="F113" s="17">
        <f>Primarios!E103</f>
        <v>0</v>
      </c>
      <c r="G113" s="17">
        <f>Primarios!F103</f>
        <v>0</v>
      </c>
      <c r="H113" s="17">
        <f>Primarios!G103</f>
        <v>0</v>
      </c>
      <c r="I113" s="17">
        <f>Primarios!H103</f>
        <v>0</v>
      </c>
      <c r="J113" s="17">
        <f>Primarios!I103</f>
        <v>0</v>
      </c>
      <c r="K113" s="17">
        <f>Primarios!J103</f>
        <v>0</v>
      </c>
      <c r="L113" s="17">
        <f>Primarios!K103</f>
        <v>0</v>
      </c>
      <c r="M113" s="6"/>
      <c r="N113" s="6"/>
      <c r="O113" s="6"/>
    </row>
    <row r="114" spans="1:15" x14ac:dyDescent="0.25">
      <c r="A114" s="53">
        <v>0.33680555555555602</v>
      </c>
      <c r="B114" s="52">
        <f>Primarios!A104</f>
        <v>98</v>
      </c>
      <c r="C114" s="1">
        <f>Primarios!B104</f>
        <v>0</v>
      </c>
      <c r="D114" s="17">
        <f>Primarios!C104</f>
        <v>0</v>
      </c>
      <c r="E114" s="17">
        <f>Primarios!D104</f>
        <v>0</v>
      </c>
      <c r="F114" s="17">
        <f>Primarios!E104</f>
        <v>0</v>
      </c>
      <c r="G114" s="17">
        <f>Primarios!F104</f>
        <v>0</v>
      </c>
      <c r="H114" s="17">
        <f>Primarios!G104</f>
        <v>0</v>
      </c>
      <c r="I114" s="17">
        <f>Primarios!H104</f>
        <v>0</v>
      </c>
      <c r="J114" s="17">
        <f>Primarios!I104</f>
        <v>0</v>
      </c>
      <c r="K114" s="17">
        <f>Primarios!J104</f>
        <v>0</v>
      </c>
      <c r="L114" s="17">
        <f>Primarios!K104</f>
        <v>0</v>
      </c>
      <c r="M114" s="6"/>
      <c r="N114" s="6"/>
      <c r="O114" s="6"/>
    </row>
    <row r="115" spans="1:15" x14ac:dyDescent="0.25">
      <c r="A115" s="51">
        <v>0.34027777777777801</v>
      </c>
      <c r="B115" s="52">
        <f>Primarios!A105</f>
        <v>99</v>
      </c>
      <c r="C115" s="1">
        <f>Primarios!B105</f>
        <v>0</v>
      </c>
      <c r="D115" s="17">
        <f>Primarios!C105</f>
        <v>0</v>
      </c>
      <c r="E115" s="17">
        <f>Primarios!D105</f>
        <v>0</v>
      </c>
      <c r="F115" s="17">
        <f>Primarios!E105</f>
        <v>0</v>
      </c>
      <c r="G115" s="17">
        <f>Primarios!F105</f>
        <v>0</v>
      </c>
      <c r="H115" s="17">
        <f>Primarios!G105</f>
        <v>0</v>
      </c>
      <c r="I115" s="17">
        <f>Primarios!H105</f>
        <v>0</v>
      </c>
      <c r="J115" s="17">
        <f>Primarios!I105</f>
        <v>0</v>
      </c>
      <c r="K115" s="17">
        <f>Primarios!J105</f>
        <v>0</v>
      </c>
      <c r="L115" s="17">
        <f>Primarios!K105</f>
        <v>0</v>
      </c>
      <c r="M115" s="6"/>
      <c r="N115" s="6"/>
      <c r="O115" s="6"/>
    </row>
    <row r="116" spans="1:15" x14ac:dyDescent="0.25">
      <c r="A116" s="53">
        <v>0.34375</v>
      </c>
      <c r="B116" s="52">
        <f>Primarios!A106</f>
        <v>100</v>
      </c>
      <c r="C116" s="1">
        <f>Primarios!B106</f>
        <v>0</v>
      </c>
      <c r="D116" s="17">
        <f>Primarios!C106</f>
        <v>0</v>
      </c>
      <c r="E116" s="17">
        <f>Primarios!D106</f>
        <v>0</v>
      </c>
      <c r="F116" s="17">
        <f>Primarios!E106</f>
        <v>0</v>
      </c>
      <c r="G116" s="17">
        <f>Primarios!F106</f>
        <v>0</v>
      </c>
      <c r="H116" s="17">
        <f>Primarios!G106</f>
        <v>0</v>
      </c>
      <c r="I116" s="17">
        <f>Primarios!H106</f>
        <v>0</v>
      </c>
      <c r="J116" s="17">
        <f>Primarios!I106</f>
        <v>0</v>
      </c>
      <c r="K116" s="17">
        <f>Primarios!J106</f>
        <v>0</v>
      </c>
      <c r="L116" s="17">
        <f>Primarios!K106</f>
        <v>0</v>
      </c>
      <c r="M116" s="6"/>
      <c r="N116" s="6"/>
      <c r="O116" s="6"/>
    </row>
    <row r="117" spans="1:15" x14ac:dyDescent="0.25">
      <c r="A117" s="51">
        <v>0.34722222222222199</v>
      </c>
      <c r="B117" s="52">
        <f>Primarios!A107</f>
        <v>101</v>
      </c>
      <c r="C117" s="1">
        <f>Primarios!B107</f>
        <v>0</v>
      </c>
      <c r="D117" s="17">
        <f>Primarios!C107</f>
        <v>0</v>
      </c>
      <c r="E117" s="17">
        <f>Primarios!D107</f>
        <v>0</v>
      </c>
      <c r="F117" s="17">
        <f>Primarios!E107</f>
        <v>0</v>
      </c>
      <c r="G117" s="17">
        <f>Primarios!F107</f>
        <v>0</v>
      </c>
      <c r="H117" s="17">
        <f>Primarios!G107</f>
        <v>0</v>
      </c>
      <c r="I117" s="17">
        <f>Primarios!H107</f>
        <v>0</v>
      </c>
      <c r="J117" s="17">
        <f>Primarios!I107</f>
        <v>0</v>
      </c>
      <c r="K117" s="17">
        <f>Primarios!J107</f>
        <v>0</v>
      </c>
      <c r="L117" s="17">
        <f>Primarios!K107</f>
        <v>0</v>
      </c>
      <c r="M117" s="6"/>
      <c r="N117" s="6"/>
      <c r="O117" s="6"/>
    </row>
    <row r="118" spans="1:15" x14ac:dyDescent="0.25">
      <c r="A118" s="53">
        <v>0.35069444444444398</v>
      </c>
      <c r="B118" s="52">
        <f>Primarios!A108</f>
        <v>102</v>
      </c>
      <c r="C118" s="1">
        <f>Primarios!B108</f>
        <v>0</v>
      </c>
      <c r="D118" s="17">
        <f>Primarios!C108</f>
        <v>0</v>
      </c>
      <c r="E118" s="17">
        <f>Primarios!D108</f>
        <v>0</v>
      </c>
      <c r="F118" s="17">
        <f>Primarios!E108</f>
        <v>0</v>
      </c>
      <c r="G118" s="17">
        <f>Primarios!F108</f>
        <v>0</v>
      </c>
      <c r="H118" s="17">
        <f>Primarios!G108</f>
        <v>0</v>
      </c>
      <c r="I118" s="17">
        <f>Primarios!H108</f>
        <v>0</v>
      </c>
      <c r="J118" s="17">
        <f>Primarios!I108</f>
        <v>0</v>
      </c>
      <c r="K118" s="17">
        <f>Primarios!J108</f>
        <v>0</v>
      </c>
      <c r="L118" s="17">
        <f>Primarios!K108</f>
        <v>0</v>
      </c>
      <c r="M118" s="6"/>
      <c r="N118" s="6"/>
      <c r="O118" s="6"/>
    </row>
    <row r="119" spans="1:15" x14ac:dyDescent="0.25">
      <c r="A119" s="51">
        <v>0.35416666666666702</v>
      </c>
      <c r="B119" s="52">
        <f>Primarios!A109</f>
        <v>103</v>
      </c>
      <c r="C119" s="1">
        <f>Primarios!B109</f>
        <v>0</v>
      </c>
      <c r="D119" s="17">
        <f>Primarios!C109</f>
        <v>0</v>
      </c>
      <c r="E119" s="17">
        <f>Primarios!D109</f>
        <v>0</v>
      </c>
      <c r="F119" s="17">
        <f>Primarios!E109</f>
        <v>0</v>
      </c>
      <c r="G119" s="17">
        <f>Primarios!F109</f>
        <v>0</v>
      </c>
      <c r="H119" s="17">
        <f>Primarios!G109</f>
        <v>0</v>
      </c>
      <c r="I119" s="17">
        <f>Primarios!H109</f>
        <v>0</v>
      </c>
      <c r="J119" s="17">
        <f>Primarios!I109</f>
        <v>0</v>
      </c>
      <c r="K119" s="17">
        <f>Primarios!J109</f>
        <v>0</v>
      </c>
      <c r="L119" s="17">
        <f>Primarios!K109</f>
        <v>0</v>
      </c>
      <c r="M119" s="6"/>
      <c r="N119" s="6"/>
      <c r="O119" s="6"/>
    </row>
    <row r="120" spans="1:15" x14ac:dyDescent="0.25">
      <c r="A120" s="53">
        <v>0.35763888888888901</v>
      </c>
      <c r="B120" s="52">
        <f>Primarios!A110</f>
        <v>104</v>
      </c>
      <c r="C120" s="1">
        <f>Primarios!B110</f>
        <v>0</v>
      </c>
      <c r="D120" s="17">
        <f>Primarios!C110</f>
        <v>0</v>
      </c>
      <c r="E120" s="17">
        <f>Primarios!D110</f>
        <v>0</v>
      </c>
      <c r="F120" s="17">
        <f>Primarios!E110</f>
        <v>0</v>
      </c>
      <c r="G120" s="17">
        <f>Primarios!F110</f>
        <v>0</v>
      </c>
      <c r="H120" s="17">
        <f>Primarios!G110</f>
        <v>0</v>
      </c>
      <c r="I120" s="17">
        <f>Primarios!H110</f>
        <v>0</v>
      </c>
      <c r="J120" s="17">
        <f>Primarios!I110</f>
        <v>0</v>
      </c>
      <c r="K120" s="17">
        <f>Primarios!J110</f>
        <v>0</v>
      </c>
      <c r="L120" s="17">
        <f>Primarios!K110</f>
        <v>0</v>
      </c>
      <c r="M120" s="6"/>
      <c r="N120" s="6"/>
      <c r="O120" s="6"/>
    </row>
    <row r="121" spans="1:15" x14ac:dyDescent="0.25">
      <c r="A121" s="51">
        <v>0.36111111111111099</v>
      </c>
      <c r="B121" s="52">
        <f>Primarios!A111</f>
        <v>105</v>
      </c>
      <c r="C121" s="1">
        <f>Primarios!B111</f>
        <v>0</v>
      </c>
      <c r="D121" s="17">
        <f>Primarios!C111</f>
        <v>0</v>
      </c>
      <c r="E121" s="17">
        <f>Primarios!D111</f>
        <v>0</v>
      </c>
      <c r="F121" s="17">
        <f>Primarios!E111</f>
        <v>0</v>
      </c>
      <c r="G121" s="17">
        <f>Primarios!F111</f>
        <v>0</v>
      </c>
      <c r="H121" s="17">
        <f>Primarios!G111</f>
        <v>0</v>
      </c>
      <c r="I121" s="17">
        <f>Primarios!H111</f>
        <v>0</v>
      </c>
      <c r="J121" s="17">
        <f>Primarios!I111</f>
        <v>0</v>
      </c>
      <c r="K121" s="17">
        <f>Primarios!J111</f>
        <v>0</v>
      </c>
      <c r="L121" s="17">
        <f>Primarios!K111</f>
        <v>0</v>
      </c>
      <c r="M121" s="6"/>
      <c r="N121" s="6"/>
      <c r="O121" s="6"/>
    </row>
    <row r="122" spans="1:15" x14ac:dyDescent="0.25">
      <c r="A122" s="53">
        <v>0.36458333333333298</v>
      </c>
      <c r="B122" s="52">
        <f>Primarios!A112</f>
        <v>106</v>
      </c>
      <c r="C122" s="1">
        <f>Primarios!B112</f>
        <v>0</v>
      </c>
      <c r="D122" s="17">
        <f>Primarios!C112</f>
        <v>0</v>
      </c>
      <c r="E122" s="17">
        <f>Primarios!D112</f>
        <v>0</v>
      </c>
      <c r="F122" s="17">
        <f>Primarios!E112</f>
        <v>0</v>
      </c>
      <c r="G122" s="17">
        <f>Primarios!F112</f>
        <v>0</v>
      </c>
      <c r="H122" s="17">
        <f>Primarios!G112</f>
        <v>0</v>
      </c>
      <c r="I122" s="17">
        <f>Primarios!H112</f>
        <v>0</v>
      </c>
      <c r="J122" s="17">
        <f>Primarios!I112</f>
        <v>0</v>
      </c>
      <c r="K122" s="17">
        <f>Primarios!J112</f>
        <v>0</v>
      </c>
      <c r="L122" s="17">
        <f>Primarios!K112</f>
        <v>0</v>
      </c>
      <c r="M122" s="6"/>
      <c r="N122" s="6"/>
      <c r="O122" s="6"/>
    </row>
    <row r="123" spans="1:15" x14ac:dyDescent="0.25">
      <c r="A123" s="51">
        <v>0.36805555555555602</v>
      </c>
      <c r="B123" s="52">
        <f>Primarios!A113</f>
        <v>107</v>
      </c>
      <c r="C123" s="1">
        <f>Primarios!B113</f>
        <v>0</v>
      </c>
      <c r="D123" s="17">
        <f>Primarios!C113</f>
        <v>0</v>
      </c>
      <c r="E123" s="17">
        <f>Primarios!D113</f>
        <v>0</v>
      </c>
      <c r="F123" s="17">
        <f>Primarios!E113</f>
        <v>0</v>
      </c>
      <c r="G123" s="17">
        <f>Primarios!F113</f>
        <v>0</v>
      </c>
      <c r="H123" s="17">
        <f>Primarios!G113</f>
        <v>0</v>
      </c>
      <c r="I123" s="17">
        <f>Primarios!H113</f>
        <v>0</v>
      </c>
      <c r="J123" s="17">
        <f>Primarios!I113</f>
        <v>0</v>
      </c>
      <c r="K123" s="17">
        <f>Primarios!J113</f>
        <v>0</v>
      </c>
      <c r="L123" s="17">
        <f>Primarios!K113</f>
        <v>0</v>
      </c>
      <c r="M123" s="6"/>
      <c r="N123" s="6"/>
      <c r="O123" s="6"/>
    </row>
    <row r="124" spans="1:15" x14ac:dyDescent="0.25">
      <c r="A124" s="53">
        <v>0.37152777777777801</v>
      </c>
      <c r="B124" s="52">
        <f>Primarios!A114</f>
        <v>108</v>
      </c>
      <c r="C124" s="1">
        <f>Primarios!B114</f>
        <v>0</v>
      </c>
      <c r="D124" s="17">
        <f>Primarios!C114</f>
        <v>0</v>
      </c>
      <c r="E124" s="17">
        <f>Primarios!D114</f>
        <v>0</v>
      </c>
      <c r="F124" s="17">
        <f>Primarios!E114</f>
        <v>0</v>
      </c>
      <c r="G124" s="17">
        <f>Primarios!F114</f>
        <v>0</v>
      </c>
      <c r="H124" s="17">
        <f>Primarios!G114</f>
        <v>0</v>
      </c>
      <c r="I124" s="17">
        <f>Primarios!H114</f>
        <v>0</v>
      </c>
      <c r="J124" s="17">
        <f>Primarios!I114</f>
        <v>0</v>
      </c>
      <c r="K124" s="17">
        <f>Primarios!J114</f>
        <v>0</v>
      </c>
      <c r="L124" s="17">
        <f>Primarios!K114</f>
        <v>0</v>
      </c>
      <c r="M124" s="6"/>
      <c r="N124" s="6"/>
      <c r="O124" s="6"/>
    </row>
    <row r="125" spans="1:15" x14ac:dyDescent="0.25">
      <c r="A125" s="51">
        <v>0.375</v>
      </c>
      <c r="B125" s="52">
        <f>Primarios!A115</f>
        <v>109</v>
      </c>
      <c r="C125" s="1">
        <f>Primarios!B115</f>
        <v>0</v>
      </c>
      <c r="D125" s="17">
        <f>Primarios!C115</f>
        <v>0</v>
      </c>
      <c r="E125" s="17">
        <f>Primarios!D115</f>
        <v>0</v>
      </c>
      <c r="F125" s="17">
        <f>Primarios!E115</f>
        <v>0</v>
      </c>
      <c r="G125" s="17">
        <f>Primarios!F115</f>
        <v>0</v>
      </c>
      <c r="H125" s="17">
        <f>Primarios!G115</f>
        <v>0</v>
      </c>
      <c r="I125" s="17">
        <f>Primarios!H115</f>
        <v>0</v>
      </c>
      <c r="J125" s="17">
        <f>Primarios!I115</f>
        <v>0</v>
      </c>
      <c r="K125" s="17">
        <f>Primarios!J115</f>
        <v>0</v>
      </c>
      <c r="L125" s="17">
        <f>Primarios!K115</f>
        <v>0</v>
      </c>
      <c r="M125" s="6"/>
      <c r="N125" s="6"/>
      <c r="O125" s="6"/>
    </row>
    <row r="126" spans="1:15" x14ac:dyDescent="0.25">
      <c r="A126" s="53">
        <v>0.37847222222222199</v>
      </c>
      <c r="B126" s="52">
        <f>Primarios!A116</f>
        <v>110</v>
      </c>
      <c r="C126" s="1">
        <f>Primarios!B116</f>
        <v>0</v>
      </c>
      <c r="D126" s="17">
        <f>Primarios!C116</f>
        <v>0</v>
      </c>
      <c r="E126" s="17">
        <f>Primarios!D116</f>
        <v>0</v>
      </c>
      <c r="F126" s="17">
        <f>Primarios!E116</f>
        <v>0</v>
      </c>
      <c r="G126" s="17">
        <f>Primarios!F116</f>
        <v>0</v>
      </c>
      <c r="H126" s="17">
        <f>Primarios!G116</f>
        <v>0</v>
      </c>
      <c r="I126" s="17">
        <f>Primarios!H116</f>
        <v>0</v>
      </c>
      <c r="J126" s="17">
        <f>Primarios!I116</f>
        <v>0</v>
      </c>
      <c r="K126" s="17">
        <f>Primarios!J116</f>
        <v>0</v>
      </c>
      <c r="L126" s="17">
        <f>Primarios!K116</f>
        <v>0</v>
      </c>
      <c r="M126" s="6"/>
      <c r="N126" s="6"/>
      <c r="O126" s="6"/>
    </row>
    <row r="127" spans="1:15" x14ac:dyDescent="0.25">
      <c r="A127" s="51">
        <v>0.38194444444444398</v>
      </c>
      <c r="B127" s="52">
        <f>Primarios!A117</f>
        <v>111</v>
      </c>
      <c r="C127" s="1">
        <f>Primarios!B117</f>
        <v>0</v>
      </c>
      <c r="D127" s="17">
        <f>Primarios!C117</f>
        <v>0</v>
      </c>
      <c r="E127" s="17">
        <f>Primarios!D117</f>
        <v>0</v>
      </c>
      <c r="F127" s="17">
        <f>Primarios!E117</f>
        <v>0</v>
      </c>
      <c r="G127" s="17">
        <f>Primarios!F117</f>
        <v>0</v>
      </c>
      <c r="H127" s="17">
        <f>Primarios!G117</f>
        <v>0</v>
      </c>
      <c r="I127" s="17">
        <f>Primarios!H117</f>
        <v>0</v>
      </c>
      <c r="J127" s="17">
        <f>Primarios!I117</f>
        <v>0</v>
      </c>
      <c r="K127" s="17">
        <f>Primarios!J117</f>
        <v>0</v>
      </c>
      <c r="L127" s="17">
        <f>Primarios!K117</f>
        <v>0</v>
      </c>
      <c r="M127" s="6"/>
      <c r="N127" s="6"/>
      <c r="O127" s="6"/>
    </row>
    <row r="128" spans="1:15" x14ac:dyDescent="0.25">
      <c r="A128" s="53">
        <v>0.38541666666666702</v>
      </c>
      <c r="B128" s="52">
        <f>Primarios!A118</f>
        <v>112</v>
      </c>
      <c r="C128" s="1">
        <f>Primarios!B118</f>
        <v>0</v>
      </c>
      <c r="D128" s="17">
        <f>Primarios!C118</f>
        <v>0</v>
      </c>
      <c r="E128" s="17">
        <f>Primarios!D118</f>
        <v>0</v>
      </c>
      <c r="F128" s="17">
        <f>Primarios!E118</f>
        <v>0</v>
      </c>
      <c r="G128" s="17">
        <f>Primarios!F118</f>
        <v>0</v>
      </c>
      <c r="H128" s="17">
        <f>Primarios!G118</f>
        <v>0</v>
      </c>
      <c r="I128" s="17">
        <f>Primarios!H118</f>
        <v>0</v>
      </c>
      <c r="J128" s="17">
        <f>Primarios!I118</f>
        <v>0</v>
      </c>
      <c r="K128" s="17">
        <f>Primarios!J118</f>
        <v>0</v>
      </c>
      <c r="L128" s="17">
        <f>Primarios!K118</f>
        <v>0</v>
      </c>
      <c r="M128" s="6"/>
      <c r="N128" s="6"/>
      <c r="O128" s="6"/>
    </row>
    <row r="129" spans="1:15" x14ac:dyDescent="0.25">
      <c r="A129" s="51">
        <v>0.38888888888888901</v>
      </c>
      <c r="B129" s="52">
        <f>Primarios!A119</f>
        <v>113</v>
      </c>
      <c r="C129" s="1">
        <f>Primarios!B119</f>
        <v>0</v>
      </c>
      <c r="D129" s="17">
        <f>Primarios!C119</f>
        <v>0</v>
      </c>
      <c r="E129" s="17">
        <f>Primarios!D119</f>
        <v>0</v>
      </c>
      <c r="F129" s="17">
        <f>Primarios!E119</f>
        <v>0</v>
      </c>
      <c r="G129" s="17">
        <f>Primarios!F119</f>
        <v>0</v>
      </c>
      <c r="H129" s="17">
        <f>Primarios!G119</f>
        <v>0</v>
      </c>
      <c r="I129" s="17">
        <f>Primarios!H119</f>
        <v>0</v>
      </c>
      <c r="J129" s="17">
        <f>Primarios!I119</f>
        <v>0</v>
      </c>
      <c r="K129" s="17">
        <f>Primarios!J119</f>
        <v>0</v>
      </c>
      <c r="L129" s="17">
        <f>Primarios!K119</f>
        <v>0</v>
      </c>
      <c r="M129" s="6"/>
      <c r="N129" s="6"/>
      <c r="O129" s="6"/>
    </row>
    <row r="130" spans="1:15" x14ac:dyDescent="0.25">
      <c r="A130" s="53">
        <v>0.39236111111111099</v>
      </c>
      <c r="B130" s="52">
        <f>Primarios!A120</f>
        <v>114</v>
      </c>
      <c r="C130" s="1">
        <f>Primarios!B120</f>
        <v>0</v>
      </c>
      <c r="D130" s="17">
        <f>Primarios!C120</f>
        <v>0</v>
      </c>
      <c r="E130" s="17">
        <f>Primarios!D120</f>
        <v>0</v>
      </c>
      <c r="F130" s="17">
        <f>Primarios!E120</f>
        <v>0</v>
      </c>
      <c r="G130" s="17">
        <f>Primarios!F120</f>
        <v>0</v>
      </c>
      <c r="H130" s="17">
        <f>Primarios!G120</f>
        <v>0</v>
      </c>
      <c r="I130" s="17">
        <f>Primarios!H120</f>
        <v>0</v>
      </c>
      <c r="J130" s="17">
        <f>Primarios!I120</f>
        <v>0</v>
      </c>
      <c r="K130" s="17">
        <f>Primarios!J120</f>
        <v>0</v>
      </c>
      <c r="L130" s="17">
        <f>Primarios!K120</f>
        <v>0</v>
      </c>
      <c r="M130" s="6"/>
      <c r="N130" s="6"/>
      <c r="O130" s="6"/>
    </row>
    <row r="131" spans="1:15" x14ac:dyDescent="0.25">
      <c r="A131" s="51">
        <v>0.39583333333333298</v>
      </c>
      <c r="B131" s="52">
        <f>Primarios!A121</f>
        <v>115</v>
      </c>
      <c r="C131" s="1">
        <f>Primarios!B121</f>
        <v>0</v>
      </c>
      <c r="D131" s="17">
        <f>Primarios!C121</f>
        <v>0</v>
      </c>
      <c r="E131" s="17">
        <f>Primarios!D121</f>
        <v>0</v>
      </c>
      <c r="F131" s="17">
        <f>Primarios!E121</f>
        <v>0</v>
      </c>
      <c r="G131" s="17">
        <f>Primarios!F121</f>
        <v>0</v>
      </c>
      <c r="H131" s="17">
        <f>Primarios!G121</f>
        <v>0</v>
      </c>
      <c r="I131" s="17">
        <f>Primarios!H121</f>
        <v>0</v>
      </c>
      <c r="J131" s="17">
        <f>Primarios!I121</f>
        <v>0</v>
      </c>
      <c r="K131" s="17">
        <f>Primarios!J121</f>
        <v>0</v>
      </c>
      <c r="L131" s="17">
        <f>Primarios!K121</f>
        <v>0</v>
      </c>
      <c r="M131" s="6"/>
      <c r="N131" s="6"/>
      <c r="O131" s="6"/>
    </row>
    <row r="132" spans="1:15" x14ac:dyDescent="0.25">
      <c r="A132" s="53">
        <v>0.39930555555555602</v>
      </c>
      <c r="B132" s="52">
        <f>Primarios!A122</f>
        <v>116</v>
      </c>
      <c r="C132" s="1">
        <f>Primarios!B122</f>
        <v>0</v>
      </c>
      <c r="D132" s="17">
        <f>Primarios!C122</f>
        <v>0</v>
      </c>
      <c r="E132" s="17">
        <f>Primarios!D122</f>
        <v>0</v>
      </c>
      <c r="F132" s="17">
        <f>Primarios!E122</f>
        <v>0</v>
      </c>
      <c r="G132" s="17">
        <f>Primarios!F122</f>
        <v>0</v>
      </c>
      <c r="H132" s="17">
        <f>Primarios!G122</f>
        <v>0</v>
      </c>
      <c r="I132" s="17">
        <f>Primarios!H122</f>
        <v>0</v>
      </c>
      <c r="J132" s="17">
        <f>Primarios!I122</f>
        <v>0</v>
      </c>
      <c r="K132" s="17">
        <f>Primarios!J122</f>
        <v>0</v>
      </c>
      <c r="L132" s="17">
        <f>Primarios!K122</f>
        <v>0</v>
      </c>
      <c r="M132" s="6"/>
      <c r="N132" s="6"/>
      <c r="O132" s="6"/>
    </row>
    <row r="133" spans="1:15" x14ac:dyDescent="0.25">
      <c r="A133" s="51">
        <v>0.40277777777777801</v>
      </c>
      <c r="B133" s="52">
        <f>Primarios!A123</f>
        <v>117</v>
      </c>
      <c r="C133" s="1">
        <f>Primarios!B123</f>
        <v>0</v>
      </c>
      <c r="D133" s="17">
        <f>Primarios!C123</f>
        <v>0</v>
      </c>
      <c r="E133" s="17">
        <f>Primarios!D123</f>
        <v>0</v>
      </c>
      <c r="F133" s="17">
        <f>Primarios!E123</f>
        <v>0</v>
      </c>
      <c r="G133" s="17">
        <f>Primarios!F123</f>
        <v>0</v>
      </c>
      <c r="H133" s="17">
        <f>Primarios!G123</f>
        <v>0</v>
      </c>
      <c r="I133" s="17">
        <f>Primarios!H123</f>
        <v>0</v>
      </c>
      <c r="J133" s="17">
        <f>Primarios!I123</f>
        <v>0</v>
      </c>
      <c r="K133" s="17">
        <f>Primarios!J123</f>
        <v>0</v>
      </c>
      <c r="L133" s="17">
        <f>Primarios!K123</f>
        <v>0</v>
      </c>
      <c r="M133" s="6"/>
      <c r="N133" s="6"/>
      <c r="O133" s="6"/>
    </row>
    <row r="134" spans="1:15" x14ac:dyDescent="0.25">
      <c r="A134" s="53">
        <v>0.40625</v>
      </c>
      <c r="B134" s="52">
        <f>Primarios!A124</f>
        <v>118</v>
      </c>
      <c r="C134" s="1">
        <f>Primarios!B124</f>
        <v>0</v>
      </c>
      <c r="D134" s="17">
        <f>Primarios!C124</f>
        <v>0</v>
      </c>
      <c r="E134" s="17">
        <f>Primarios!D124</f>
        <v>0</v>
      </c>
      <c r="F134" s="17">
        <f>Primarios!E124</f>
        <v>0</v>
      </c>
      <c r="G134" s="17">
        <f>Primarios!F124</f>
        <v>0</v>
      </c>
      <c r="H134" s="17">
        <f>Primarios!G124</f>
        <v>0</v>
      </c>
      <c r="I134" s="17">
        <f>Primarios!H124</f>
        <v>0</v>
      </c>
      <c r="J134" s="17">
        <f>Primarios!I124</f>
        <v>0</v>
      </c>
      <c r="K134" s="17">
        <f>Primarios!J124</f>
        <v>0</v>
      </c>
      <c r="L134" s="17">
        <f>Primarios!K124</f>
        <v>0</v>
      </c>
      <c r="M134" s="6"/>
      <c r="N134" s="6"/>
      <c r="O134" s="6"/>
    </row>
    <row r="135" spans="1:15" x14ac:dyDescent="0.25">
      <c r="A135" s="51">
        <v>0.40972222222222199</v>
      </c>
      <c r="B135" s="52">
        <f>Primarios!A125</f>
        <v>119</v>
      </c>
      <c r="C135" s="1">
        <f>Primarios!B125</f>
        <v>0</v>
      </c>
      <c r="D135" s="17">
        <f>Primarios!C125</f>
        <v>0</v>
      </c>
      <c r="E135" s="17">
        <f>Primarios!D125</f>
        <v>0</v>
      </c>
      <c r="F135" s="17">
        <f>Primarios!E125</f>
        <v>0</v>
      </c>
      <c r="G135" s="17">
        <f>Primarios!F125</f>
        <v>0</v>
      </c>
      <c r="H135" s="17">
        <f>Primarios!G125</f>
        <v>0</v>
      </c>
      <c r="I135" s="17">
        <f>Primarios!H125</f>
        <v>0</v>
      </c>
      <c r="J135" s="17">
        <f>Primarios!I125</f>
        <v>0</v>
      </c>
      <c r="K135" s="17">
        <f>Primarios!J125</f>
        <v>0</v>
      </c>
      <c r="L135" s="17">
        <f>Primarios!K125</f>
        <v>0</v>
      </c>
      <c r="M135" s="6"/>
      <c r="N135" s="6"/>
      <c r="O135" s="6"/>
    </row>
    <row r="136" spans="1:15" x14ac:dyDescent="0.25">
      <c r="A136" s="53">
        <v>0.41319444444444398</v>
      </c>
      <c r="B136" s="52">
        <f>Primarios!A126</f>
        <v>120</v>
      </c>
      <c r="C136" s="1">
        <f>Primarios!B126</f>
        <v>0</v>
      </c>
      <c r="D136" s="17">
        <f>Primarios!C126</f>
        <v>0</v>
      </c>
      <c r="E136" s="17">
        <f>Primarios!D126</f>
        <v>0</v>
      </c>
      <c r="F136" s="17">
        <f>Primarios!E126</f>
        <v>0</v>
      </c>
      <c r="G136" s="17">
        <f>Primarios!F126</f>
        <v>0</v>
      </c>
      <c r="H136" s="17">
        <f>Primarios!G126</f>
        <v>0</v>
      </c>
      <c r="I136" s="17">
        <f>Primarios!H126</f>
        <v>0</v>
      </c>
      <c r="J136" s="17">
        <f>Primarios!I126</f>
        <v>0</v>
      </c>
      <c r="K136" s="17">
        <f>Primarios!J126</f>
        <v>0</v>
      </c>
      <c r="L136" s="17">
        <f>Primarios!K126</f>
        <v>0</v>
      </c>
      <c r="M136" s="6"/>
      <c r="N136" s="6"/>
      <c r="O136" s="6"/>
    </row>
    <row r="137" spans="1:15" x14ac:dyDescent="0.25">
      <c r="A137" s="51">
        <v>0.41666666666666702</v>
      </c>
      <c r="B137" s="52">
        <f>Primarios!A127</f>
        <v>121</v>
      </c>
      <c r="C137" s="1">
        <f>Primarios!B127</f>
        <v>0</v>
      </c>
      <c r="D137" s="17">
        <f>Primarios!C127</f>
        <v>0</v>
      </c>
      <c r="E137" s="17">
        <f>Primarios!D127</f>
        <v>0</v>
      </c>
      <c r="F137" s="17">
        <f>Primarios!E127</f>
        <v>0</v>
      </c>
      <c r="G137" s="17">
        <f>Primarios!F127</f>
        <v>0</v>
      </c>
      <c r="H137" s="17">
        <f>Primarios!G127</f>
        <v>0</v>
      </c>
      <c r="I137" s="17">
        <f>Primarios!H127</f>
        <v>0</v>
      </c>
      <c r="J137" s="17">
        <f>Primarios!I127</f>
        <v>0</v>
      </c>
      <c r="K137" s="17">
        <f>Primarios!J127</f>
        <v>0</v>
      </c>
      <c r="L137" s="17">
        <f>Primarios!K127</f>
        <v>0</v>
      </c>
      <c r="M137" s="6"/>
      <c r="N137" s="6"/>
      <c r="O137" s="6"/>
    </row>
    <row r="138" spans="1:15" x14ac:dyDescent="0.25">
      <c r="A138" s="53">
        <v>0.42013888888888901</v>
      </c>
      <c r="B138" s="52">
        <f>Primarios!A128</f>
        <v>122</v>
      </c>
      <c r="C138" s="1">
        <f>Primarios!B128</f>
        <v>0</v>
      </c>
      <c r="D138" s="17">
        <f>Primarios!C128</f>
        <v>0</v>
      </c>
      <c r="E138" s="17">
        <f>Primarios!D128</f>
        <v>0</v>
      </c>
      <c r="F138" s="17">
        <f>Primarios!E128</f>
        <v>0</v>
      </c>
      <c r="G138" s="17">
        <f>Primarios!F128</f>
        <v>0</v>
      </c>
      <c r="H138" s="17">
        <f>Primarios!G128</f>
        <v>0</v>
      </c>
      <c r="I138" s="17">
        <f>Primarios!H128</f>
        <v>0</v>
      </c>
      <c r="J138" s="17">
        <f>Primarios!I128</f>
        <v>0</v>
      </c>
      <c r="K138" s="17">
        <f>Primarios!J128</f>
        <v>0</v>
      </c>
      <c r="L138" s="17">
        <f>Primarios!K128</f>
        <v>0</v>
      </c>
      <c r="M138" s="6"/>
      <c r="N138" s="6"/>
      <c r="O138" s="6"/>
    </row>
    <row r="139" spans="1:15" x14ac:dyDescent="0.25">
      <c r="A139" s="51">
        <v>0.42361111111111099</v>
      </c>
      <c r="B139" s="52">
        <f>Primarios!A129</f>
        <v>123</v>
      </c>
      <c r="C139" s="1">
        <f>Primarios!B129</f>
        <v>0</v>
      </c>
      <c r="D139" s="17">
        <f>Primarios!C129</f>
        <v>0</v>
      </c>
      <c r="E139" s="17">
        <f>Primarios!D129</f>
        <v>0</v>
      </c>
      <c r="F139" s="17">
        <f>Primarios!E129</f>
        <v>0</v>
      </c>
      <c r="G139" s="17">
        <f>Primarios!F129</f>
        <v>0</v>
      </c>
      <c r="H139" s="17">
        <f>Primarios!G129</f>
        <v>0</v>
      </c>
      <c r="I139" s="17">
        <f>Primarios!H129</f>
        <v>0</v>
      </c>
      <c r="J139" s="17">
        <f>Primarios!I129</f>
        <v>0</v>
      </c>
      <c r="K139" s="17">
        <f>Primarios!J129</f>
        <v>0</v>
      </c>
      <c r="L139" s="17">
        <f>Primarios!K129</f>
        <v>0</v>
      </c>
      <c r="M139" s="6"/>
      <c r="N139" s="6"/>
      <c r="O139" s="6"/>
    </row>
    <row r="140" spans="1:15" x14ac:dyDescent="0.25">
      <c r="A140" s="53">
        <v>0.42708333333333298</v>
      </c>
      <c r="B140" s="52">
        <f>Primarios!A130</f>
        <v>124</v>
      </c>
      <c r="C140" s="1">
        <f>Primarios!B130</f>
        <v>0</v>
      </c>
      <c r="D140" s="17">
        <f>Primarios!C130</f>
        <v>0</v>
      </c>
      <c r="E140" s="17">
        <f>Primarios!D130</f>
        <v>0</v>
      </c>
      <c r="F140" s="17">
        <f>Primarios!E130</f>
        <v>0</v>
      </c>
      <c r="G140" s="17">
        <f>Primarios!F130</f>
        <v>0</v>
      </c>
      <c r="H140" s="17">
        <f>Primarios!G130</f>
        <v>0</v>
      </c>
      <c r="I140" s="17">
        <f>Primarios!H130</f>
        <v>0</v>
      </c>
      <c r="J140" s="17">
        <f>Primarios!I130</f>
        <v>0</v>
      </c>
      <c r="K140" s="17">
        <f>Primarios!J130</f>
        <v>0</v>
      </c>
      <c r="L140" s="17">
        <f>Primarios!K130</f>
        <v>0</v>
      </c>
      <c r="M140" s="6"/>
      <c r="N140" s="6"/>
      <c r="O140" s="6"/>
    </row>
    <row r="141" spans="1:15" x14ac:dyDescent="0.25">
      <c r="A141" s="51">
        <v>0.43055555555555602</v>
      </c>
      <c r="B141" s="52">
        <f>Primarios!A131</f>
        <v>125</v>
      </c>
      <c r="C141" s="1">
        <f>Primarios!B131</f>
        <v>0</v>
      </c>
      <c r="D141" s="17">
        <f>Primarios!C131</f>
        <v>0</v>
      </c>
      <c r="E141" s="17">
        <f>Primarios!D131</f>
        <v>0</v>
      </c>
      <c r="F141" s="17">
        <f>Primarios!E131</f>
        <v>0</v>
      </c>
      <c r="G141" s="17">
        <f>Primarios!F131</f>
        <v>0</v>
      </c>
      <c r="H141" s="17">
        <f>Primarios!G131</f>
        <v>0</v>
      </c>
      <c r="I141" s="17">
        <f>Primarios!H131</f>
        <v>0</v>
      </c>
      <c r="J141" s="17">
        <f>Primarios!I131</f>
        <v>0</v>
      </c>
      <c r="K141" s="17">
        <f>Primarios!J131</f>
        <v>0</v>
      </c>
      <c r="L141" s="17">
        <f>Primarios!K131</f>
        <v>0</v>
      </c>
      <c r="M141" s="6"/>
      <c r="N141" s="6"/>
      <c r="O141" s="6"/>
    </row>
    <row r="142" spans="1:15" x14ac:dyDescent="0.25">
      <c r="A142" s="53">
        <v>0.43402777777777801</v>
      </c>
      <c r="B142" s="52">
        <f>Primarios!A132</f>
        <v>126</v>
      </c>
      <c r="C142" s="1">
        <f>Primarios!B132</f>
        <v>0</v>
      </c>
      <c r="D142" s="17">
        <f>Primarios!C132</f>
        <v>0</v>
      </c>
      <c r="E142" s="17">
        <f>Primarios!D132</f>
        <v>0</v>
      </c>
      <c r="F142" s="17">
        <f>Primarios!E132</f>
        <v>0</v>
      </c>
      <c r="G142" s="17">
        <f>Primarios!F132</f>
        <v>0</v>
      </c>
      <c r="H142" s="17">
        <f>Primarios!G132</f>
        <v>0</v>
      </c>
      <c r="I142" s="17">
        <f>Primarios!H132</f>
        <v>0</v>
      </c>
      <c r="J142" s="17">
        <f>Primarios!I132</f>
        <v>0</v>
      </c>
      <c r="K142" s="17">
        <f>Primarios!J132</f>
        <v>0</v>
      </c>
      <c r="L142" s="17">
        <f>Primarios!K132</f>
        <v>0</v>
      </c>
      <c r="M142" s="6"/>
      <c r="N142" s="6"/>
      <c r="O142" s="6"/>
    </row>
    <row r="143" spans="1:15" x14ac:dyDescent="0.25">
      <c r="A143" s="51">
        <v>0.4375</v>
      </c>
      <c r="B143" s="52">
        <f>Primarios!A133</f>
        <v>127</v>
      </c>
      <c r="C143" s="1">
        <f>Primarios!B133</f>
        <v>0</v>
      </c>
      <c r="D143" s="17">
        <f>Primarios!C133</f>
        <v>0</v>
      </c>
      <c r="E143" s="17">
        <f>Primarios!D133</f>
        <v>0</v>
      </c>
      <c r="F143" s="17">
        <f>Primarios!E133</f>
        <v>0</v>
      </c>
      <c r="G143" s="17">
        <f>Primarios!F133</f>
        <v>0</v>
      </c>
      <c r="H143" s="17">
        <f>Primarios!G133</f>
        <v>0</v>
      </c>
      <c r="I143" s="17">
        <f>Primarios!H133</f>
        <v>0</v>
      </c>
      <c r="J143" s="17">
        <f>Primarios!I133</f>
        <v>0</v>
      </c>
      <c r="K143" s="17">
        <f>Primarios!J133</f>
        <v>0</v>
      </c>
      <c r="L143" s="17">
        <f>Primarios!K133</f>
        <v>0</v>
      </c>
      <c r="M143" s="6"/>
      <c r="N143" s="6"/>
      <c r="O143" s="6"/>
    </row>
    <row r="144" spans="1:15" x14ac:dyDescent="0.25">
      <c r="A144" s="53">
        <v>0.44097222222222199</v>
      </c>
      <c r="B144" s="52">
        <f>Primarios!A134</f>
        <v>128</v>
      </c>
      <c r="C144" s="1">
        <f>Primarios!B134</f>
        <v>0</v>
      </c>
      <c r="D144" s="17">
        <f>Primarios!C134</f>
        <v>0</v>
      </c>
      <c r="E144" s="17">
        <f>Primarios!D134</f>
        <v>0</v>
      </c>
      <c r="F144" s="17">
        <f>Primarios!E134</f>
        <v>0</v>
      </c>
      <c r="G144" s="17">
        <f>Primarios!F134</f>
        <v>0</v>
      </c>
      <c r="H144" s="17">
        <f>Primarios!G134</f>
        <v>0</v>
      </c>
      <c r="I144" s="17">
        <f>Primarios!H134</f>
        <v>0</v>
      </c>
      <c r="J144" s="17">
        <f>Primarios!I134</f>
        <v>0</v>
      </c>
      <c r="K144" s="17">
        <f>Primarios!J134</f>
        <v>0</v>
      </c>
      <c r="L144" s="17">
        <f>Primarios!K134</f>
        <v>0</v>
      </c>
      <c r="M144" s="6"/>
      <c r="N144" s="6"/>
      <c r="O144" s="6"/>
    </row>
    <row r="145" spans="1:15" x14ac:dyDescent="0.25">
      <c r="A145" s="51">
        <v>0.44444444444444398</v>
      </c>
      <c r="B145" s="52">
        <f>Primarios!A135</f>
        <v>129</v>
      </c>
      <c r="C145" s="1">
        <f>Primarios!B135</f>
        <v>0</v>
      </c>
      <c r="D145" s="17">
        <f>Primarios!C135</f>
        <v>0</v>
      </c>
      <c r="E145" s="17">
        <f>Primarios!D135</f>
        <v>0</v>
      </c>
      <c r="F145" s="17">
        <f>Primarios!E135</f>
        <v>0</v>
      </c>
      <c r="G145" s="17">
        <f>Primarios!F135</f>
        <v>0</v>
      </c>
      <c r="H145" s="17">
        <f>Primarios!G135</f>
        <v>0</v>
      </c>
      <c r="I145" s="17">
        <f>Primarios!H135</f>
        <v>0</v>
      </c>
      <c r="J145" s="17">
        <f>Primarios!I135</f>
        <v>0</v>
      </c>
      <c r="K145" s="17">
        <f>Primarios!J135</f>
        <v>0</v>
      </c>
      <c r="L145" s="17">
        <f>Primarios!K135</f>
        <v>0</v>
      </c>
      <c r="M145" s="6"/>
      <c r="N145" s="6"/>
      <c r="O145" s="6"/>
    </row>
    <row r="146" spans="1:15" x14ac:dyDescent="0.25">
      <c r="A146" s="53">
        <v>0.44791666666666702</v>
      </c>
      <c r="B146" s="52">
        <f>Primarios!A136</f>
        <v>130</v>
      </c>
      <c r="C146" s="1">
        <f>Primarios!B136</f>
        <v>0</v>
      </c>
      <c r="D146" s="17">
        <f>Primarios!C136</f>
        <v>0</v>
      </c>
      <c r="E146" s="17">
        <f>Primarios!D136</f>
        <v>0</v>
      </c>
      <c r="F146" s="17">
        <f>Primarios!E136</f>
        <v>0</v>
      </c>
      <c r="G146" s="17">
        <f>Primarios!F136</f>
        <v>0</v>
      </c>
      <c r="H146" s="17">
        <f>Primarios!G136</f>
        <v>0</v>
      </c>
      <c r="I146" s="17">
        <f>Primarios!H136</f>
        <v>0</v>
      </c>
      <c r="J146" s="17">
        <f>Primarios!I136</f>
        <v>0</v>
      </c>
      <c r="K146" s="17">
        <f>Primarios!J136</f>
        <v>0</v>
      </c>
      <c r="L146" s="17">
        <f>Primarios!K136</f>
        <v>0</v>
      </c>
      <c r="M146" s="6"/>
      <c r="N146" s="6"/>
      <c r="O146" s="6"/>
    </row>
    <row r="147" spans="1:15" x14ac:dyDescent="0.25">
      <c r="A147" s="51">
        <v>0.45138888888888901</v>
      </c>
      <c r="B147" s="52">
        <f>Primarios!A137</f>
        <v>131</v>
      </c>
      <c r="C147" s="1">
        <f>Primarios!B137</f>
        <v>0</v>
      </c>
      <c r="D147" s="17">
        <f>Primarios!C137</f>
        <v>0</v>
      </c>
      <c r="E147" s="17">
        <f>Primarios!D137</f>
        <v>0</v>
      </c>
      <c r="F147" s="17">
        <f>Primarios!E137</f>
        <v>0</v>
      </c>
      <c r="G147" s="17">
        <f>Primarios!F137</f>
        <v>0</v>
      </c>
      <c r="H147" s="17">
        <f>Primarios!G137</f>
        <v>0</v>
      </c>
      <c r="I147" s="17">
        <f>Primarios!H137</f>
        <v>0</v>
      </c>
      <c r="J147" s="17">
        <f>Primarios!I137</f>
        <v>0</v>
      </c>
      <c r="K147" s="17">
        <f>Primarios!J137</f>
        <v>0</v>
      </c>
      <c r="L147" s="17">
        <f>Primarios!K137</f>
        <v>0</v>
      </c>
      <c r="M147" s="6"/>
      <c r="N147" s="6"/>
      <c r="O147" s="6"/>
    </row>
    <row r="148" spans="1:15" x14ac:dyDescent="0.25">
      <c r="A148" s="53">
        <v>0.45486111111111099</v>
      </c>
      <c r="B148" s="52">
        <f>Primarios!A138</f>
        <v>132</v>
      </c>
      <c r="C148" s="1">
        <f>Primarios!B138</f>
        <v>0</v>
      </c>
      <c r="D148" s="17">
        <f>Primarios!C138</f>
        <v>0</v>
      </c>
      <c r="E148" s="17">
        <f>Primarios!D138</f>
        <v>0</v>
      </c>
      <c r="F148" s="17">
        <f>Primarios!E138</f>
        <v>0</v>
      </c>
      <c r="G148" s="17">
        <f>Primarios!F138</f>
        <v>0</v>
      </c>
      <c r="H148" s="17">
        <f>Primarios!G138</f>
        <v>0</v>
      </c>
      <c r="I148" s="17">
        <f>Primarios!H138</f>
        <v>0</v>
      </c>
      <c r="J148" s="17">
        <f>Primarios!I138</f>
        <v>0</v>
      </c>
      <c r="K148" s="17">
        <f>Primarios!J138</f>
        <v>0</v>
      </c>
      <c r="L148" s="17">
        <f>Primarios!K138</f>
        <v>0</v>
      </c>
      <c r="M148" s="6"/>
      <c r="N148" s="6"/>
      <c r="O148" s="6"/>
    </row>
    <row r="149" spans="1:15" x14ac:dyDescent="0.25">
      <c r="A149" s="51">
        <v>0.45833333333333298</v>
      </c>
      <c r="B149" s="52">
        <f>Primarios!A139</f>
        <v>133</v>
      </c>
      <c r="C149" s="1">
        <f>Primarios!B139</f>
        <v>0</v>
      </c>
      <c r="D149" s="17">
        <f>Primarios!C139</f>
        <v>0</v>
      </c>
      <c r="E149" s="17">
        <f>Primarios!D139</f>
        <v>0</v>
      </c>
      <c r="F149" s="17">
        <f>Primarios!E139</f>
        <v>0</v>
      </c>
      <c r="G149" s="17">
        <f>Primarios!F139</f>
        <v>0</v>
      </c>
      <c r="H149" s="17">
        <f>Primarios!G139</f>
        <v>0</v>
      </c>
      <c r="I149" s="17">
        <f>Primarios!H139</f>
        <v>0</v>
      </c>
      <c r="J149" s="17">
        <f>Primarios!I139</f>
        <v>0</v>
      </c>
      <c r="K149" s="17">
        <f>Primarios!J139</f>
        <v>0</v>
      </c>
      <c r="L149" s="17">
        <f>Primarios!K139</f>
        <v>0</v>
      </c>
      <c r="M149" s="6"/>
      <c r="N149" s="6"/>
      <c r="O149" s="6"/>
    </row>
    <row r="150" spans="1:15" x14ac:dyDescent="0.25">
      <c r="A150" s="53">
        <v>0.46180555555555602</v>
      </c>
      <c r="B150" s="52">
        <f>Primarios!A140</f>
        <v>134</v>
      </c>
      <c r="C150" s="1">
        <f>Primarios!B140</f>
        <v>0</v>
      </c>
      <c r="D150" s="17">
        <f>Primarios!C140</f>
        <v>0</v>
      </c>
      <c r="E150" s="17">
        <f>Primarios!D140</f>
        <v>0</v>
      </c>
      <c r="F150" s="17">
        <f>Primarios!E140</f>
        <v>0</v>
      </c>
      <c r="G150" s="17">
        <f>Primarios!F140</f>
        <v>0</v>
      </c>
      <c r="H150" s="17">
        <f>Primarios!G140</f>
        <v>0</v>
      </c>
      <c r="I150" s="17">
        <f>Primarios!H140</f>
        <v>0</v>
      </c>
      <c r="J150" s="17">
        <f>Primarios!I140</f>
        <v>0</v>
      </c>
      <c r="K150" s="17">
        <f>Primarios!J140</f>
        <v>0</v>
      </c>
      <c r="L150" s="17">
        <f>Primarios!K140</f>
        <v>0</v>
      </c>
      <c r="M150" s="6"/>
      <c r="N150" s="6"/>
      <c r="O150" s="6"/>
    </row>
    <row r="151" spans="1:15" x14ac:dyDescent="0.25">
      <c r="A151" s="51">
        <v>0.46527777777777801</v>
      </c>
      <c r="B151" s="52">
        <f>Primarios!A141</f>
        <v>135</v>
      </c>
      <c r="C151" s="1">
        <f>Primarios!B141</f>
        <v>0</v>
      </c>
      <c r="D151" s="17">
        <f>Primarios!C141</f>
        <v>0</v>
      </c>
      <c r="E151" s="17">
        <f>Primarios!D141</f>
        <v>0</v>
      </c>
      <c r="F151" s="17">
        <f>Primarios!E141</f>
        <v>0</v>
      </c>
      <c r="G151" s="17">
        <f>Primarios!F141</f>
        <v>0</v>
      </c>
      <c r="H151" s="17">
        <f>Primarios!G141</f>
        <v>0</v>
      </c>
      <c r="I151" s="17">
        <f>Primarios!H141</f>
        <v>0</v>
      </c>
      <c r="J151" s="17">
        <f>Primarios!I141</f>
        <v>0</v>
      </c>
      <c r="K151" s="17">
        <f>Primarios!J141</f>
        <v>0</v>
      </c>
      <c r="L151" s="17">
        <f>Primarios!K141</f>
        <v>0</v>
      </c>
      <c r="M151" s="6"/>
      <c r="N151" s="6"/>
      <c r="O151" s="6"/>
    </row>
    <row r="152" spans="1:15" x14ac:dyDescent="0.25">
      <c r="A152" s="53">
        <v>0.46875</v>
      </c>
      <c r="B152" s="52">
        <f>Primarios!A142</f>
        <v>136</v>
      </c>
      <c r="C152" s="1">
        <f>Primarios!B142</f>
        <v>0</v>
      </c>
      <c r="D152" s="17">
        <f>Primarios!C142</f>
        <v>0</v>
      </c>
      <c r="E152" s="17">
        <f>Primarios!D142</f>
        <v>0</v>
      </c>
      <c r="F152" s="17">
        <f>Primarios!E142</f>
        <v>0</v>
      </c>
      <c r="G152" s="17">
        <f>Primarios!F142</f>
        <v>0</v>
      </c>
      <c r="H152" s="17">
        <f>Primarios!G142</f>
        <v>0</v>
      </c>
      <c r="I152" s="17">
        <f>Primarios!H142</f>
        <v>0</v>
      </c>
      <c r="J152" s="17">
        <f>Primarios!I142</f>
        <v>0</v>
      </c>
      <c r="K152" s="17">
        <f>Primarios!J142</f>
        <v>0</v>
      </c>
      <c r="L152" s="17">
        <f>Primarios!K142</f>
        <v>0</v>
      </c>
      <c r="M152" s="6"/>
      <c r="N152" s="6"/>
      <c r="O152" s="6"/>
    </row>
    <row r="153" spans="1:15" x14ac:dyDescent="0.25">
      <c r="A153" s="51">
        <v>0.47222222222222199</v>
      </c>
      <c r="B153" s="52">
        <f>Primarios!A143</f>
        <v>137</v>
      </c>
      <c r="C153" s="1">
        <f>Primarios!B143</f>
        <v>0</v>
      </c>
      <c r="D153" s="17">
        <f>Primarios!C143</f>
        <v>0</v>
      </c>
      <c r="E153" s="17">
        <f>Primarios!D143</f>
        <v>0</v>
      </c>
      <c r="F153" s="17">
        <f>Primarios!E143</f>
        <v>0</v>
      </c>
      <c r="G153" s="17">
        <f>Primarios!F143</f>
        <v>0</v>
      </c>
      <c r="H153" s="17">
        <f>Primarios!G143</f>
        <v>0</v>
      </c>
      <c r="I153" s="17">
        <f>Primarios!H143</f>
        <v>0</v>
      </c>
      <c r="J153" s="17">
        <f>Primarios!I143</f>
        <v>0</v>
      </c>
      <c r="K153" s="17">
        <f>Primarios!J143</f>
        <v>0</v>
      </c>
      <c r="L153" s="17">
        <f>Primarios!K143</f>
        <v>0</v>
      </c>
      <c r="M153" s="6"/>
      <c r="N153" s="6"/>
      <c r="O153" s="6"/>
    </row>
    <row r="154" spans="1:15" x14ac:dyDescent="0.25">
      <c r="A154" s="53">
        <v>0.47569444444444398</v>
      </c>
      <c r="B154" s="52">
        <f>Primarios!A144</f>
        <v>138</v>
      </c>
      <c r="C154" s="1">
        <f>Primarios!B144</f>
        <v>0</v>
      </c>
      <c r="D154" s="17">
        <f>Primarios!C144</f>
        <v>0</v>
      </c>
      <c r="E154" s="17">
        <f>Primarios!D144</f>
        <v>0</v>
      </c>
      <c r="F154" s="17">
        <f>Primarios!E144</f>
        <v>0</v>
      </c>
      <c r="G154" s="17">
        <f>Primarios!F144</f>
        <v>0</v>
      </c>
      <c r="H154" s="17">
        <f>Primarios!G144</f>
        <v>0</v>
      </c>
      <c r="I154" s="17">
        <f>Primarios!H144</f>
        <v>0</v>
      </c>
      <c r="J154" s="17">
        <f>Primarios!I144</f>
        <v>0</v>
      </c>
      <c r="K154" s="17">
        <f>Primarios!J144</f>
        <v>0</v>
      </c>
      <c r="L154" s="17">
        <f>Primarios!K144</f>
        <v>0</v>
      </c>
      <c r="M154" s="6"/>
      <c r="N154" s="6"/>
      <c r="O154" s="6"/>
    </row>
    <row r="155" spans="1:15" x14ac:dyDescent="0.25">
      <c r="A155" s="51">
        <v>0.47916666666666702</v>
      </c>
      <c r="B155" s="52">
        <f>Primarios!A145</f>
        <v>139</v>
      </c>
      <c r="C155" s="1">
        <f>Primarios!B145</f>
        <v>0</v>
      </c>
      <c r="D155" s="17">
        <f>Primarios!C145</f>
        <v>0</v>
      </c>
      <c r="E155" s="17">
        <f>Primarios!D145</f>
        <v>0</v>
      </c>
      <c r="F155" s="17">
        <f>Primarios!E145</f>
        <v>0</v>
      </c>
      <c r="G155" s="17">
        <f>Primarios!F145</f>
        <v>0</v>
      </c>
      <c r="H155" s="17">
        <f>Primarios!G145</f>
        <v>0</v>
      </c>
      <c r="I155" s="17">
        <f>Primarios!H145</f>
        <v>0</v>
      </c>
      <c r="J155" s="17">
        <f>Primarios!I145</f>
        <v>0</v>
      </c>
      <c r="K155" s="17">
        <f>Primarios!J145</f>
        <v>0</v>
      </c>
      <c r="L155" s="17">
        <f>Primarios!K145</f>
        <v>0</v>
      </c>
      <c r="M155" s="6"/>
      <c r="N155" s="6"/>
      <c r="O155" s="6"/>
    </row>
    <row r="156" spans="1:15" x14ac:dyDescent="0.25">
      <c r="A156" s="53">
        <v>0.48263888888888901</v>
      </c>
      <c r="B156" s="52">
        <f>Primarios!A146</f>
        <v>140</v>
      </c>
      <c r="C156" s="1">
        <f>Primarios!B146</f>
        <v>0</v>
      </c>
      <c r="D156" s="17">
        <f>Primarios!C146</f>
        <v>0</v>
      </c>
      <c r="E156" s="17">
        <f>Primarios!D146</f>
        <v>0</v>
      </c>
      <c r="F156" s="17">
        <f>Primarios!E146</f>
        <v>0</v>
      </c>
      <c r="G156" s="17">
        <f>Primarios!F146</f>
        <v>0</v>
      </c>
      <c r="H156" s="17">
        <f>Primarios!G146</f>
        <v>0</v>
      </c>
      <c r="I156" s="17">
        <f>Primarios!H146</f>
        <v>0</v>
      </c>
      <c r="J156" s="17">
        <f>Primarios!I146</f>
        <v>0</v>
      </c>
      <c r="K156" s="17">
        <f>Primarios!J146</f>
        <v>0</v>
      </c>
      <c r="L156" s="17">
        <f>Primarios!K146</f>
        <v>0</v>
      </c>
      <c r="M156" s="6"/>
      <c r="N156" s="6"/>
      <c r="O156" s="6"/>
    </row>
    <row r="157" spans="1:15" x14ac:dyDescent="0.25">
      <c r="A157" s="51">
        <v>0.48611111111111099</v>
      </c>
      <c r="B157" s="52">
        <f>Primarios!A147</f>
        <v>141</v>
      </c>
      <c r="C157" s="1">
        <f>Primarios!B147</f>
        <v>0</v>
      </c>
      <c r="D157" s="17">
        <f>Primarios!C147</f>
        <v>0</v>
      </c>
      <c r="E157" s="17">
        <f>Primarios!D147</f>
        <v>0</v>
      </c>
      <c r="F157" s="17">
        <f>Primarios!E147</f>
        <v>0</v>
      </c>
      <c r="G157" s="17">
        <f>Primarios!F147</f>
        <v>0</v>
      </c>
      <c r="H157" s="17">
        <f>Primarios!G147</f>
        <v>0</v>
      </c>
      <c r="I157" s="17">
        <f>Primarios!H147</f>
        <v>0</v>
      </c>
      <c r="J157" s="17">
        <f>Primarios!I147</f>
        <v>0</v>
      </c>
      <c r="K157" s="17">
        <f>Primarios!J147</f>
        <v>0</v>
      </c>
      <c r="L157" s="17">
        <f>Primarios!K147</f>
        <v>0</v>
      </c>
      <c r="M157" s="6"/>
      <c r="N157" s="6"/>
      <c r="O157" s="6"/>
    </row>
    <row r="158" spans="1:15" x14ac:dyDescent="0.25">
      <c r="A158" s="53">
        <v>0.48958333333333298</v>
      </c>
      <c r="B158" s="52">
        <f>Primarios!A148</f>
        <v>142</v>
      </c>
      <c r="C158" s="1">
        <f>Primarios!B148</f>
        <v>0</v>
      </c>
      <c r="D158" s="17">
        <f>Primarios!C148</f>
        <v>0</v>
      </c>
      <c r="E158" s="17">
        <f>Primarios!D148</f>
        <v>0</v>
      </c>
      <c r="F158" s="17">
        <f>Primarios!E148</f>
        <v>0</v>
      </c>
      <c r="G158" s="17">
        <f>Primarios!F148</f>
        <v>0</v>
      </c>
      <c r="H158" s="17">
        <f>Primarios!G148</f>
        <v>0</v>
      </c>
      <c r="I158" s="17">
        <f>Primarios!H148</f>
        <v>0</v>
      </c>
      <c r="J158" s="17">
        <f>Primarios!I148</f>
        <v>0</v>
      </c>
      <c r="K158" s="17">
        <f>Primarios!J148</f>
        <v>0</v>
      </c>
      <c r="L158" s="17">
        <f>Primarios!K148</f>
        <v>0</v>
      </c>
      <c r="M158" s="6"/>
      <c r="N158" s="6"/>
      <c r="O158" s="6"/>
    </row>
    <row r="159" spans="1:15" x14ac:dyDescent="0.25">
      <c r="A159" s="51">
        <v>0.49305555555555602</v>
      </c>
      <c r="B159" s="52">
        <f>Primarios!A149</f>
        <v>143</v>
      </c>
      <c r="C159" s="1">
        <f>Primarios!B149</f>
        <v>0</v>
      </c>
      <c r="D159" s="17">
        <f>Primarios!C149</f>
        <v>0</v>
      </c>
      <c r="E159" s="17">
        <f>Primarios!D149</f>
        <v>0</v>
      </c>
      <c r="F159" s="17">
        <f>Primarios!E149</f>
        <v>0</v>
      </c>
      <c r="G159" s="17">
        <f>Primarios!F149</f>
        <v>0</v>
      </c>
      <c r="H159" s="17">
        <f>Primarios!G149</f>
        <v>0</v>
      </c>
      <c r="I159" s="17">
        <f>Primarios!H149</f>
        <v>0</v>
      </c>
      <c r="J159" s="17">
        <f>Primarios!I149</f>
        <v>0</v>
      </c>
      <c r="K159" s="17">
        <f>Primarios!J149</f>
        <v>0</v>
      </c>
      <c r="L159" s="17">
        <f>Primarios!K149</f>
        <v>0</v>
      </c>
      <c r="M159" s="6"/>
      <c r="N159" s="6"/>
      <c r="O159" s="6"/>
    </row>
    <row r="160" spans="1:15" x14ac:dyDescent="0.25">
      <c r="A160" s="53">
        <v>0.49652777777777801</v>
      </c>
      <c r="B160" s="52">
        <f>Primarios!A150</f>
        <v>144</v>
      </c>
      <c r="C160" s="1">
        <f>Primarios!B150</f>
        <v>0</v>
      </c>
      <c r="D160" s="17">
        <f>Primarios!C150</f>
        <v>0</v>
      </c>
      <c r="E160" s="17">
        <f>Primarios!D150</f>
        <v>0</v>
      </c>
      <c r="F160" s="17">
        <f>Primarios!E150</f>
        <v>0</v>
      </c>
      <c r="G160" s="17">
        <f>Primarios!F150</f>
        <v>0</v>
      </c>
      <c r="H160" s="17">
        <f>Primarios!G150</f>
        <v>0</v>
      </c>
      <c r="I160" s="17">
        <f>Primarios!H150</f>
        <v>0</v>
      </c>
      <c r="J160" s="17">
        <f>Primarios!I150</f>
        <v>0</v>
      </c>
      <c r="K160" s="17">
        <f>Primarios!J150</f>
        <v>0</v>
      </c>
      <c r="L160" s="17">
        <f>Primarios!K150</f>
        <v>0</v>
      </c>
      <c r="M160" s="6"/>
      <c r="N160" s="6"/>
      <c r="O160" s="6"/>
    </row>
    <row r="161" spans="1:15" x14ac:dyDescent="0.25">
      <c r="A161" s="51">
        <v>0.5</v>
      </c>
      <c r="B161" s="52">
        <f>Primarios!A151</f>
        <v>145</v>
      </c>
      <c r="C161" s="1">
        <f>Primarios!B151</f>
        <v>0</v>
      </c>
      <c r="D161" s="17">
        <f>Primarios!C151</f>
        <v>0</v>
      </c>
      <c r="E161" s="17">
        <f>Primarios!D151</f>
        <v>0</v>
      </c>
      <c r="F161" s="17">
        <f>Primarios!E151</f>
        <v>0</v>
      </c>
      <c r="G161" s="17">
        <f>Primarios!F151</f>
        <v>0</v>
      </c>
      <c r="H161" s="17">
        <f>Primarios!G151</f>
        <v>0</v>
      </c>
      <c r="I161" s="17">
        <f>Primarios!H151</f>
        <v>0</v>
      </c>
      <c r="J161" s="17">
        <f>Primarios!I151</f>
        <v>0</v>
      </c>
      <c r="K161" s="17">
        <f>Primarios!J151</f>
        <v>0</v>
      </c>
      <c r="L161" s="17">
        <f>Primarios!K151</f>
        <v>0</v>
      </c>
      <c r="M161" s="6"/>
      <c r="N161" s="6"/>
      <c r="O161" s="6"/>
    </row>
    <row r="162" spans="1:15" x14ac:dyDescent="0.25">
      <c r="A162" s="53">
        <v>0.50347222222222199</v>
      </c>
      <c r="B162" s="52">
        <f>Primarios!A152</f>
        <v>146</v>
      </c>
      <c r="C162" s="1">
        <f>Primarios!B152</f>
        <v>0</v>
      </c>
      <c r="D162" s="17">
        <f>Primarios!C152</f>
        <v>0</v>
      </c>
      <c r="E162" s="17">
        <f>Primarios!D152</f>
        <v>0</v>
      </c>
      <c r="F162" s="17">
        <f>Primarios!E152</f>
        <v>0</v>
      </c>
      <c r="G162" s="17">
        <f>Primarios!F152</f>
        <v>0</v>
      </c>
      <c r="H162" s="17">
        <f>Primarios!G152</f>
        <v>0</v>
      </c>
      <c r="I162" s="17">
        <f>Primarios!H152</f>
        <v>0</v>
      </c>
      <c r="J162" s="17">
        <f>Primarios!I152</f>
        <v>0</v>
      </c>
      <c r="K162" s="17">
        <f>Primarios!J152</f>
        <v>0</v>
      </c>
      <c r="L162" s="17">
        <f>Primarios!K152</f>
        <v>0</v>
      </c>
      <c r="M162" s="6"/>
      <c r="N162" s="6"/>
      <c r="O162" s="6"/>
    </row>
    <row r="163" spans="1:15" x14ac:dyDescent="0.25">
      <c r="A163" s="51">
        <v>0.50694444444444398</v>
      </c>
      <c r="B163" s="52">
        <f>Primarios!A153</f>
        <v>147</v>
      </c>
      <c r="C163" s="1">
        <f>Primarios!B153</f>
        <v>0</v>
      </c>
      <c r="D163" s="17">
        <f>Primarios!C153</f>
        <v>0</v>
      </c>
      <c r="E163" s="17">
        <f>Primarios!D153</f>
        <v>0</v>
      </c>
      <c r="F163" s="17">
        <f>Primarios!E153</f>
        <v>0</v>
      </c>
      <c r="G163" s="17">
        <f>Primarios!F153</f>
        <v>0</v>
      </c>
      <c r="H163" s="17">
        <f>Primarios!G153</f>
        <v>0</v>
      </c>
      <c r="I163" s="17">
        <f>Primarios!H153</f>
        <v>0</v>
      </c>
      <c r="J163" s="17">
        <f>Primarios!I153</f>
        <v>0</v>
      </c>
      <c r="K163" s="17">
        <f>Primarios!J153</f>
        <v>0</v>
      </c>
      <c r="L163" s="17">
        <f>Primarios!K153</f>
        <v>0</v>
      </c>
      <c r="M163" s="6"/>
      <c r="N163" s="6"/>
      <c r="O163" s="6"/>
    </row>
    <row r="164" spans="1:15" x14ac:dyDescent="0.25">
      <c r="A164" s="53">
        <v>0.51041666666666696</v>
      </c>
      <c r="B164" s="52">
        <f>Primarios!A154</f>
        <v>148</v>
      </c>
      <c r="C164" s="1">
        <f>Primarios!B154</f>
        <v>0</v>
      </c>
      <c r="D164" s="17">
        <f>Primarios!C154</f>
        <v>0</v>
      </c>
      <c r="E164" s="17">
        <f>Primarios!D154</f>
        <v>0</v>
      </c>
      <c r="F164" s="17">
        <f>Primarios!E154</f>
        <v>0</v>
      </c>
      <c r="G164" s="17">
        <f>Primarios!F154</f>
        <v>0</v>
      </c>
      <c r="H164" s="17">
        <f>Primarios!G154</f>
        <v>0</v>
      </c>
      <c r="I164" s="17">
        <f>Primarios!H154</f>
        <v>0</v>
      </c>
      <c r="J164" s="17">
        <f>Primarios!I154</f>
        <v>0</v>
      </c>
      <c r="K164" s="17">
        <f>Primarios!J154</f>
        <v>0</v>
      </c>
      <c r="L164" s="17">
        <f>Primarios!K154</f>
        <v>0</v>
      </c>
      <c r="M164" s="6"/>
      <c r="N164" s="6"/>
      <c r="O164" s="6"/>
    </row>
    <row r="165" spans="1:15" x14ac:dyDescent="0.25">
      <c r="A165" s="51">
        <v>0.51388888888888895</v>
      </c>
      <c r="B165" s="52">
        <f>Primarios!A155</f>
        <v>149</v>
      </c>
      <c r="C165" s="1">
        <f>Primarios!B155</f>
        <v>0</v>
      </c>
      <c r="D165" s="17">
        <f>Primarios!C155</f>
        <v>0</v>
      </c>
      <c r="E165" s="17">
        <f>Primarios!D155</f>
        <v>0</v>
      </c>
      <c r="F165" s="17">
        <f>Primarios!E155</f>
        <v>0</v>
      </c>
      <c r="G165" s="17">
        <f>Primarios!F155</f>
        <v>0</v>
      </c>
      <c r="H165" s="17">
        <f>Primarios!G155</f>
        <v>0</v>
      </c>
      <c r="I165" s="17">
        <f>Primarios!H155</f>
        <v>0</v>
      </c>
      <c r="J165" s="17">
        <f>Primarios!I155</f>
        <v>0</v>
      </c>
      <c r="K165" s="17">
        <f>Primarios!J155</f>
        <v>0</v>
      </c>
      <c r="L165" s="17">
        <f>Primarios!K155</f>
        <v>0</v>
      </c>
      <c r="M165" s="6"/>
      <c r="N165" s="6"/>
      <c r="O165" s="6"/>
    </row>
    <row r="166" spans="1:15" x14ac:dyDescent="0.25">
      <c r="A166" s="53">
        <v>0.51736111111111105</v>
      </c>
      <c r="B166" s="52">
        <f>Primarios!A156</f>
        <v>150</v>
      </c>
      <c r="C166" s="1">
        <f>Primarios!B156</f>
        <v>0</v>
      </c>
      <c r="D166" s="17">
        <f>Primarios!C156</f>
        <v>0</v>
      </c>
      <c r="E166" s="17">
        <f>Primarios!D156</f>
        <v>0</v>
      </c>
      <c r="F166" s="17">
        <f>Primarios!E156</f>
        <v>0</v>
      </c>
      <c r="G166" s="17">
        <f>Primarios!F156</f>
        <v>0</v>
      </c>
      <c r="H166" s="17">
        <f>Primarios!G156</f>
        <v>0</v>
      </c>
      <c r="I166" s="17">
        <f>Primarios!H156</f>
        <v>0</v>
      </c>
      <c r="J166" s="17">
        <f>Primarios!I156</f>
        <v>0</v>
      </c>
      <c r="K166" s="17">
        <f>Primarios!J156</f>
        <v>0</v>
      </c>
      <c r="L166" s="17">
        <f>Primarios!K156</f>
        <v>0</v>
      </c>
      <c r="M166" s="6"/>
      <c r="N166" s="6"/>
      <c r="O166" s="6"/>
    </row>
    <row r="167" spans="1:15" x14ac:dyDescent="0.25">
      <c r="A167" s="51">
        <v>0.52083333333333304</v>
      </c>
      <c r="B167" s="52">
        <f>Primarios!A157</f>
        <v>151</v>
      </c>
      <c r="C167" s="1">
        <f>Primarios!B157</f>
        <v>0</v>
      </c>
      <c r="D167" s="17">
        <f>Primarios!C157</f>
        <v>0</v>
      </c>
      <c r="E167" s="17">
        <f>Primarios!D157</f>
        <v>0</v>
      </c>
      <c r="F167" s="17">
        <f>Primarios!E157</f>
        <v>0</v>
      </c>
      <c r="G167" s="17">
        <f>Primarios!F157</f>
        <v>0</v>
      </c>
      <c r="H167" s="17">
        <f>Primarios!G157</f>
        <v>0</v>
      </c>
      <c r="I167" s="17">
        <f>Primarios!H157</f>
        <v>0</v>
      </c>
      <c r="J167" s="17">
        <f>Primarios!I157</f>
        <v>0</v>
      </c>
      <c r="K167" s="17">
        <f>Primarios!J157</f>
        <v>0</v>
      </c>
      <c r="L167" s="17">
        <f>Primarios!K157</f>
        <v>0</v>
      </c>
      <c r="M167" s="6"/>
      <c r="N167" s="6"/>
      <c r="O167" s="6"/>
    </row>
    <row r="168" spans="1:15" x14ac:dyDescent="0.25">
      <c r="A168" s="53">
        <v>0.52430555555555602</v>
      </c>
      <c r="B168" s="52">
        <f>Primarios!A158</f>
        <v>152</v>
      </c>
      <c r="C168" s="1">
        <f>Primarios!B158</f>
        <v>0</v>
      </c>
      <c r="D168" s="17">
        <f>Primarios!C158</f>
        <v>0</v>
      </c>
      <c r="E168" s="17">
        <f>Primarios!D158</f>
        <v>0</v>
      </c>
      <c r="F168" s="17">
        <f>Primarios!E158</f>
        <v>0</v>
      </c>
      <c r="G168" s="17">
        <f>Primarios!F158</f>
        <v>0</v>
      </c>
      <c r="H168" s="17">
        <f>Primarios!G158</f>
        <v>0</v>
      </c>
      <c r="I168" s="17">
        <f>Primarios!H158</f>
        <v>0</v>
      </c>
      <c r="J168" s="17">
        <f>Primarios!I158</f>
        <v>0</v>
      </c>
      <c r="K168" s="17">
        <f>Primarios!J158</f>
        <v>0</v>
      </c>
      <c r="L168" s="17">
        <f>Primarios!K158</f>
        <v>0</v>
      </c>
      <c r="M168" s="6"/>
      <c r="N168" s="6"/>
      <c r="O168" s="6"/>
    </row>
    <row r="169" spans="1:15" x14ac:dyDescent="0.25">
      <c r="A169" s="51">
        <v>0.52777777777777801</v>
      </c>
      <c r="B169" s="52">
        <f>Primarios!A159</f>
        <v>153</v>
      </c>
      <c r="C169" s="1">
        <f>Primarios!B159</f>
        <v>0</v>
      </c>
      <c r="D169" s="17">
        <f>Primarios!C159</f>
        <v>0</v>
      </c>
      <c r="E169" s="17">
        <f>Primarios!D159</f>
        <v>0</v>
      </c>
      <c r="F169" s="17">
        <f>Primarios!E159</f>
        <v>0</v>
      </c>
      <c r="G169" s="17">
        <f>Primarios!F159</f>
        <v>0</v>
      </c>
      <c r="H169" s="17">
        <f>Primarios!G159</f>
        <v>0</v>
      </c>
      <c r="I169" s="17">
        <f>Primarios!H159</f>
        <v>0</v>
      </c>
      <c r="J169" s="17">
        <f>Primarios!I159</f>
        <v>0</v>
      </c>
      <c r="K169" s="17">
        <f>Primarios!J159</f>
        <v>0</v>
      </c>
      <c r="L169" s="17">
        <f>Primarios!K159</f>
        <v>0</v>
      </c>
      <c r="M169" s="6"/>
      <c r="N169" s="6"/>
      <c r="O169" s="6"/>
    </row>
    <row r="170" spans="1:15" x14ac:dyDescent="0.25">
      <c r="A170" s="53">
        <v>0.53125</v>
      </c>
      <c r="B170" s="52">
        <f>Primarios!A160</f>
        <v>154</v>
      </c>
      <c r="C170" s="1">
        <f>Primarios!B160</f>
        <v>0</v>
      </c>
      <c r="D170" s="17">
        <f>Primarios!C160</f>
        <v>0</v>
      </c>
      <c r="E170" s="17">
        <f>Primarios!D160</f>
        <v>0</v>
      </c>
      <c r="F170" s="17">
        <f>Primarios!E160</f>
        <v>0</v>
      </c>
      <c r="G170" s="17">
        <f>Primarios!F160</f>
        <v>0</v>
      </c>
      <c r="H170" s="17">
        <f>Primarios!G160</f>
        <v>0</v>
      </c>
      <c r="I170" s="17">
        <f>Primarios!H160</f>
        <v>0</v>
      </c>
      <c r="J170" s="17">
        <f>Primarios!I160</f>
        <v>0</v>
      </c>
      <c r="K170" s="17">
        <f>Primarios!J160</f>
        <v>0</v>
      </c>
      <c r="L170" s="17">
        <f>Primarios!K160</f>
        <v>0</v>
      </c>
      <c r="M170" s="6"/>
      <c r="N170" s="6"/>
      <c r="O170" s="6"/>
    </row>
    <row r="171" spans="1:15" x14ac:dyDescent="0.25">
      <c r="A171" s="51">
        <v>0.53472222222222199</v>
      </c>
      <c r="B171" s="52">
        <f>Primarios!A161</f>
        <v>155</v>
      </c>
      <c r="C171" s="1">
        <f>Primarios!B161</f>
        <v>0</v>
      </c>
      <c r="D171" s="17">
        <f>Primarios!C161</f>
        <v>0</v>
      </c>
      <c r="E171" s="17">
        <f>Primarios!D161</f>
        <v>0</v>
      </c>
      <c r="F171" s="17">
        <f>Primarios!E161</f>
        <v>0</v>
      </c>
      <c r="G171" s="17">
        <f>Primarios!F161</f>
        <v>0</v>
      </c>
      <c r="H171" s="17">
        <f>Primarios!G161</f>
        <v>0</v>
      </c>
      <c r="I171" s="17">
        <f>Primarios!H161</f>
        <v>0</v>
      </c>
      <c r="J171" s="17">
        <f>Primarios!I161</f>
        <v>0</v>
      </c>
      <c r="K171" s="17">
        <f>Primarios!J161</f>
        <v>0</v>
      </c>
      <c r="L171" s="17">
        <f>Primarios!K161</f>
        <v>0</v>
      </c>
      <c r="M171" s="6"/>
      <c r="N171" s="6"/>
      <c r="O171" s="6"/>
    </row>
    <row r="172" spans="1:15" x14ac:dyDescent="0.25">
      <c r="A172" s="53">
        <v>0.53819444444444398</v>
      </c>
      <c r="B172" s="52">
        <f>Primarios!A162</f>
        <v>156</v>
      </c>
      <c r="C172" s="1">
        <f>Primarios!B162</f>
        <v>0</v>
      </c>
      <c r="D172" s="17">
        <f>Primarios!C162</f>
        <v>0</v>
      </c>
      <c r="E172" s="17">
        <f>Primarios!D162</f>
        <v>0</v>
      </c>
      <c r="F172" s="17">
        <f>Primarios!E162</f>
        <v>0</v>
      </c>
      <c r="G172" s="17">
        <f>Primarios!F162</f>
        <v>0</v>
      </c>
      <c r="H172" s="17">
        <f>Primarios!G162</f>
        <v>0</v>
      </c>
      <c r="I172" s="17">
        <f>Primarios!H162</f>
        <v>0</v>
      </c>
      <c r="J172" s="17">
        <f>Primarios!I162</f>
        <v>0</v>
      </c>
      <c r="K172" s="17">
        <f>Primarios!J162</f>
        <v>0</v>
      </c>
      <c r="L172" s="17">
        <f>Primarios!K162</f>
        <v>0</v>
      </c>
      <c r="M172" s="6"/>
      <c r="N172" s="6"/>
      <c r="O172" s="6"/>
    </row>
    <row r="173" spans="1:15" x14ac:dyDescent="0.25">
      <c r="A173" s="51">
        <v>0.54166666666666696</v>
      </c>
      <c r="B173" s="52">
        <f>Primarios!A163</f>
        <v>157</v>
      </c>
      <c r="C173" s="1">
        <f>Primarios!B163</f>
        <v>0</v>
      </c>
      <c r="D173" s="17">
        <f>Primarios!C163</f>
        <v>0</v>
      </c>
      <c r="E173" s="17">
        <f>Primarios!D163</f>
        <v>0</v>
      </c>
      <c r="F173" s="17">
        <f>Primarios!E163</f>
        <v>0</v>
      </c>
      <c r="G173" s="17">
        <f>Primarios!F163</f>
        <v>0</v>
      </c>
      <c r="H173" s="17">
        <f>Primarios!G163</f>
        <v>0</v>
      </c>
      <c r="I173" s="17">
        <f>Primarios!H163</f>
        <v>0</v>
      </c>
      <c r="J173" s="17">
        <f>Primarios!I163</f>
        <v>0</v>
      </c>
      <c r="K173" s="17">
        <f>Primarios!J163</f>
        <v>0</v>
      </c>
      <c r="L173" s="17">
        <f>Primarios!K163</f>
        <v>0</v>
      </c>
      <c r="M173" s="6"/>
      <c r="N173" s="6"/>
      <c r="O173" s="6"/>
    </row>
    <row r="174" spans="1:15" x14ac:dyDescent="0.25">
      <c r="A174" s="53">
        <v>0.54513888888888895</v>
      </c>
      <c r="B174" s="52">
        <f>Primarios!A164</f>
        <v>158</v>
      </c>
      <c r="C174" s="1">
        <f>Primarios!B164</f>
        <v>0</v>
      </c>
      <c r="D174" s="17">
        <f>Primarios!C164</f>
        <v>0</v>
      </c>
      <c r="E174" s="17">
        <f>Primarios!D164</f>
        <v>0</v>
      </c>
      <c r="F174" s="17">
        <f>Primarios!E164</f>
        <v>0</v>
      </c>
      <c r="G174" s="17">
        <f>Primarios!F164</f>
        <v>0</v>
      </c>
      <c r="H174" s="17">
        <f>Primarios!G164</f>
        <v>0</v>
      </c>
      <c r="I174" s="17">
        <f>Primarios!H164</f>
        <v>0</v>
      </c>
      <c r="J174" s="17">
        <f>Primarios!I164</f>
        <v>0</v>
      </c>
      <c r="K174" s="17">
        <f>Primarios!J164</f>
        <v>0</v>
      </c>
      <c r="L174" s="17">
        <f>Primarios!K164</f>
        <v>0</v>
      </c>
      <c r="M174" s="6"/>
      <c r="N174" s="6"/>
      <c r="O174" s="6"/>
    </row>
    <row r="175" spans="1:15" x14ac:dyDescent="0.25">
      <c r="A175" s="51">
        <v>0.54861111111111105</v>
      </c>
      <c r="B175" s="52">
        <f>Primarios!A165</f>
        <v>159</v>
      </c>
      <c r="C175" s="1">
        <f>Primarios!B165</f>
        <v>0</v>
      </c>
      <c r="D175" s="17">
        <f>Primarios!C165</f>
        <v>0</v>
      </c>
      <c r="E175" s="17">
        <f>Primarios!D165</f>
        <v>0</v>
      </c>
      <c r="F175" s="17">
        <f>Primarios!E165</f>
        <v>0</v>
      </c>
      <c r="G175" s="17">
        <f>Primarios!F165</f>
        <v>0</v>
      </c>
      <c r="H175" s="17">
        <f>Primarios!G165</f>
        <v>0</v>
      </c>
      <c r="I175" s="17">
        <f>Primarios!H165</f>
        <v>0</v>
      </c>
      <c r="J175" s="17">
        <f>Primarios!I165</f>
        <v>0</v>
      </c>
      <c r="K175" s="17">
        <f>Primarios!J165</f>
        <v>0</v>
      </c>
      <c r="L175" s="17">
        <f>Primarios!K165</f>
        <v>0</v>
      </c>
      <c r="M175" s="6"/>
      <c r="N175" s="6"/>
      <c r="O175" s="6"/>
    </row>
    <row r="176" spans="1:15" x14ac:dyDescent="0.25">
      <c r="A176" s="53">
        <v>0.55208333333333304</v>
      </c>
      <c r="B176" s="52">
        <f>Primarios!A166</f>
        <v>160</v>
      </c>
      <c r="C176" s="1">
        <f>Primarios!B166</f>
        <v>0</v>
      </c>
      <c r="D176" s="17">
        <f>Primarios!C166</f>
        <v>0</v>
      </c>
      <c r="E176" s="17">
        <f>Primarios!D166</f>
        <v>0</v>
      </c>
      <c r="F176" s="17">
        <f>Primarios!E166</f>
        <v>0</v>
      </c>
      <c r="G176" s="17">
        <f>Primarios!F166</f>
        <v>0</v>
      </c>
      <c r="H176" s="17">
        <f>Primarios!G166</f>
        <v>0</v>
      </c>
      <c r="I176" s="17">
        <f>Primarios!H166</f>
        <v>0</v>
      </c>
      <c r="J176" s="17">
        <f>Primarios!I166</f>
        <v>0</v>
      </c>
      <c r="K176" s="17">
        <f>Primarios!J166</f>
        <v>0</v>
      </c>
      <c r="L176" s="17">
        <f>Primarios!K166</f>
        <v>0</v>
      </c>
      <c r="M176" s="6"/>
      <c r="N176" s="6"/>
      <c r="O176" s="6"/>
    </row>
    <row r="177" spans="1:15" x14ac:dyDescent="0.25">
      <c r="A177" s="51">
        <v>0.55555555555555602</v>
      </c>
      <c r="B177" s="52">
        <f>Primarios!A167</f>
        <v>161</v>
      </c>
      <c r="C177" s="1">
        <f>Primarios!B167</f>
        <v>0</v>
      </c>
      <c r="D177" s="17">
        <f>Primarios!C167</f>
        <v>0</v>
      </c>
      <c r="E177" s="17">
        <f>Primarios!D167</f>
        <v>0</v>
      </c>
      <c r="F177" s="17">
        <f>Primarios!E167</f>
        <v>0</v>
      </c>
      <c r="G177" s="17">
        <f>Primarios!F167</f>
        <v>0</v>
      </c>
      <c r="H177" s="17">
        <f>Primarios!G167</f>
        <v>0</v>
      </c>
      <c r="I177" s="17">
        <f>Primarios!H167</f>
        <v>0</v>
      </c>
      <c r="J177" s="17">
        <f>Primarios!I167</f>
        <v>0</v>
      </c>
      <c r="K177" s="17">
        <f>Primarios!J167</f>
        <v>0</v>
      </c>
      <c r="L177" s="17">
        <f>Primarios!K167</f>
        <v>0</v>
      </c>
      <c r="M177" s="6"/>
      <c r="N177" s="6"/>
      <c r="O177" s="6"/>
    </row>
    <row r="178" spans="1:15" x14ac:dyDescent="0.25">
      <c r="A178" s="53">
        <v>0.55902777777777801</v>
      </c>
      <c r="B178" s="52">
        <f>Primarios!A168</f>
        <v>162</v>
      </c>
      <c r="C178" s="1">
        <f>Primarios!B168</f>
        <v>0</v>
      </c>
      <c r="D178" s="17">
        <f>Primarios!C168</f>
        <v>0</v>
      </c>
      <c r="E178" s="17">
        <f>Primarios!D168</f>
        <v>0</v>
      </c>
      <c r="F178" s="17">
        <f>Primarios!E168</f>
        <v>0</v>
      </c>
      <c r="G178" s="17">
        <f>Primarios!F168</f>
        <v>0</v>
      </c>
      <c r="H178" s="17">
        <f>Primarios!G168</f>
        <v>0</v>
      </c>
      <c r="I178" s="17">
        <f>Primarios!H168</f>
        <v>0</v>
      </c>
      <c r="J178" s="17">
        <f>Primarios!I168</f>
        <v>0</v>
      </c>
      <c r="K178" s="17">
        <f>Primarios!J168</f>
        <v>0</v>
      </c>
      <c r="L178" s="17">
        <f>Primarios!K168</f>
        <v>0</v>
      </c>
      <c r="M178" s="6"/>
      <c r="N178" s="6"/>
      <c r="O178" s="6"/>
    </row>
    <row r="179" spans="1:15" x14ac:dyDescent="0.25">
      <c r="A179" s="51">
        <v>0.5625</v>
      </c>
      <c r="B179" s="52">
        <f>Primarios!A169</f>
        <v>163</v>
      </c>
      <c r="C179" s="1">
        <f>Primarios!B169</f>
        <v>0</v>
      </c>
      <c r="D179" s="17">
        <f>Primarios!C169</f>
        <v>0</v>
      </c>
      <c r="E179" s="17">
        <f>Primarios!D169</f>
        <v>0</v>
      </c>
      <c r="F179" s="17">
        <f>Primarios!E169</f>
        <v>0</v>
      </c>
      <c r="G179" s="17">
        <f>Primarios!F169</f>
        <v>0</v>
      </c>
      <c r="H179" s="17">
        <f>Primarios!G169</f>
        <v>0</v>
      </c>
      <c r="I179" s="17">
        <f>Primarios!H169</f>
        <v>0</v>
      </c>
      <c r="J179" s="17">
        <f>Primarios!I169</f>
        <v>0</v>
      </c>
      <c r="K179" s="17">
        <f>Primarios!J169</f>
        <v>0</v>
      </c>
      <c r="L179" s="17">
        <f>Primarios!K169</f>
        <v>0</v>
      </c>
      <c r="M179" s="6"/>
      <c r="N179" s="6"/>
      <c r="O179" s="6"/>
    </row>
    <row r="180" spans="1:15" x14ac:dyDescent="0.25">
      <c r="A180" s="53">
        <v>0.56597222222222199</v>
      </c>
      <c r="B180" s="52">
        <f>Primarios!A170</f>
        <v>164</v>
      </c>
      <c r="C180" s="1">
        <f>Primarios!B170</f>
        <v>0</v>
      </c>
      <c r="D180" s="17">
        <f>Primarios!C170</f>
        <v>0</v>
      </c>
      <c r="E180" s="17">
        <f>Primarios!D170</f>
        <v>0</v>
      </c>
      <c r="F180" s="17">
        <f>Primarios!E170</f>
        <v>0</v>
      </c>
      <c r="G180" s="17">
        <f>Primarios!F170</f>
        <v>0</v>
      </c>
      <c r="H180" s="17">
        <f>Primarios!G170</f>
        <v>0</v>
      </c>
      <c r="I180" s="17">
        <f>Primarios!H170</f>
        <v>0</v>
      </c>
      <c r="J180" s="17">
        <f>Primarios!I170</f>
        <v>0</v>
      </c>
      <c r="K180" s="17">
        <f>Primarios!J170</f>
        <v>0</v>
      </c>
      <c r="L180" s="17">
        <f>Primarios!K170</f>
        <v>0</v>
      </c>
      <c r="M180" s="6"/>
      <c r="N180" s="6"/>
      <c r="O180" s="6"/>
    </row>
    <row r="181" spans="1:15" x14ac:dyDescent="0.25">
      <c r="A181" s="51">
        <v>0.56944444444444398</v>
      </c>
      <c r="B181" s="52">
        <f>Primarios!A171</f>
        <v>165</v>
      </c>
      <c r="C181" s="1">
        <f>Primarios!B171</f>
        <v>0</v>
      </c>
      <c r="D181" s="17">
        <f>Primarios!C171</f>
        <v>0</v>
      </c>
      <c r="E181" s="17">
        <f>Primarios!D171</f>
        <v>0</v>
      </c>
      <c r="F181" s="17">
        <f>Primarios!E171</f>
        <v>0</v>
      </c>
      <c r="G181" s="17">
        <f>Primarios!F171</f>
        <v>0</v>
      </c>
      <c r="H181" s="17">
        <f>Primarios!G171</f>
        <v>0</v>
      </c>
      <c r="I181" s="17">
        <f>Primarios!H171</f>
        <v>0</v>
      </c>
      <c r="J181" s="17">
        <f>Primarios!I171</f>
        <v>0</v>
      </c>
      <c r="K181" s="17">
        <f>Primarios!J171</f>
        <v>0</v>
      </c>
      <c r="L181" s="17">
        <f>Primarios!K171</f>
        <v>0</v>
      </c>
      <c r="M181" s="6"/>
      <c r="N181" s="6"/>
      <c r="O181" s="6"/>
    </row>
    <row r="182" spans="1:15" x14ac:dyDescent="0.25">
      <c r="A182" s="53">
        <v>0.57291666666666696</v>
      </c>
      <c r="B182" s="52">
        <f>Primarios!A172</f>
        <v>166</v>
      </c>
      <c r="C182" s="1">
        <f>Primarios!B172</f>
        <v>0</v>
      </c>
      <c r="D182" s="17">
        <f>Primarios!C172</f>
        <v>0</v>
      </c>
      <c r="E182" s="17">
        <f>Primarios!D172</f>
        <v>0</v>
      </c>
      <c r="F182" s="17">
        <f>Primarios!E172</f>
        <v>0</v>
      </c>
      <c r="G182" s="17">
        <f>Primarios!F172</f>
        <v>0</v>
      </c>
      <c r="H182" s="17">
        <f>Primarios!G172</f>
        <v>0</v>
      </c>
      <c r="I182" s="17">
        <f>Primarios!H172</f>
        <v>0</v>
      </c>
      <c r="J182" s="17">
        <f>Primarios!I172</f>
        <v>0</v>
      </c>
      <c r="K182" s="17">
        <f>Primarios!J172</f>
        <v>0</v>
      </c>
      <c r="L182" s="17">
        <f>Primarios!K172</f>
        <v>0</v>
      </c>
      <c r="M182" s="6"/>
      <c r="N182" s="6"/>
      <c r="O182" s="6"/>
    </row>
    <row r="183" spans="1:15" x14ac:dyDescent="0.25">
      <c r="A183" s="51">
        <v>0.57638888888888895</v>
      </c>
      <c r="B183" s="52">
        <f>Primarios!A173</f>
        <v>167</v>
      </c>
      <c r="C183" s="1">
        <f>Primarios!B173</f>
        <v>0</v>
      </c>
      <c r="D183" s="17">
        <f>Primarios!C173</f>
        <v>0</v>
      </c>
      <c r="E183" s="17">
        <f>Primarios!D173</f>
        <v>0</v>
      </c>
      <c r="F183" s="17">
        <f>Primarios!E173</f>
        <v>0</v>
      </c>
      <c r="G183" s="17">
        <f>Primarios!F173</f>
        <v>0</v>
      </c>
      <c r="H183" s="17">
        <f>Primarios!G173</f>
        <v>0</v>
      </c>
      <c r="I183" s="17">
        <f>Primarios!H173</f>
        <v>0</v>
      </c>
      <c r="J183" s="17">
        <f>Primarios!I173</f>
        <v>0</v>
      </c>
      <c r="K183" s="17">
        <f>Primarios!J173</f>
        <v>0</v>
      </c>
      <c r="L183" s="17">
        <f>Primarios!K173</f>
        <v>0</v>
      </c>
      <c r="M183" s="6"/>
      <c r="N183" s="6"/>
      <c r="O183" s="6"/>
    </row>
    <row r="184" spans="1:15" x14ac:dyDescent="0.25">
      <c r="A184" s="53">
        <v>0.57986111111111105</v>
      </c>
      <c r="B184" s="52">
        <f>Primarios!A174</f>
        <v>168</v>
      </c>
      <c r="C184" s="1">
        <f>Primarios!B174</f>
        <v>0</v>
      </c>
      <c r="D184" s="17">
        <f>Primarios!C174</f>
        <v>0</v>
      </c>
      <c r="E184" s="17">
        <f>Primarios!D174</f>
        <v>0</v>
      </c>
      <c r="F184" s="17">
        <f>Primarios!E174</f>
        <v>0</v>
      </c>
      <c r="G184" s="17">
        <f>Primarios!F174</f>
        <v>0</v>
      </c>
      <c r="H184" s="17">
        <f>Primarios!G174</f>
        <v>0</v>
      </c>
      <c r="I184" s="17">
        <f>Primarios!H174</f>
        <v>0</v>
      </c>
      <c r="J184" s="17">
        <f>Primarios!I174</f>
        <v>0</v>
      </c>
      <c r="K184" s="17">
        <f>Primarios!J174</f>
        <v>0</v>
      </c>
      <c r="L184" s="17">
        <f>Primarios!K174</f>
        <v>0</v>
      </c>
      <c r="M184" s="6"/>
      <c r="N184" s="6"/>
      <c r="O184" s="6"/>
    </row>
    <row r="185" spans="1:15" x14ac:dyDescent="0.25">
      <c r="A185" s="51">
        <v>0.58333333333333304</v>
      </c>
      <c r="B185" s="52">
        <f>Primarios!A175</f>
        <v>169</v>
      </c>
      <c r="C185" s="1">
        <f>Primarios!B175</f>
        <v>0</v>
      </c>
      <c r="D185" s="17">
        <f>Primarios!C175</f>
        <v>0</v>
      </c>
      <c r="E185" s="17">
        <f>Primarios!D175</f>
        <v>0</v>
      </c>
      <c r="F185" s="17">
        <f>Primarios!E175</f>
        <v>0</v>
      </c>
      <c r="G185" s="17">
        <f>Primarios!F175</f>
        <v>0</v>
      </c>
      <c r="H185" s="17">
        <f>Primarios!G175</f>
        <v>0</v>
      </c>
      <c r="I185" s="17">
        <f>Primarios!H175</f>
        <v>0</v>
      </c>
      <c r="J185" s="17">
        <f>Primarios!I175</f>
        <v>0</v>
      </c>
      <c r="K185" s="17">
        <f>Primarios!J175</f>
        <v>0</v>
      </c>
      <c r="L185" s="17">
        <f>Primarios!K175</f>
        <v>0</v>
      </c>
      <c r="M185" s="6"/>
      <c r="N185" s="6"/>
      <c r="O185" s="6"/>
    </row>
    <row r="186" spans="1:15" x14ac:dyDescent="0.25">
      <c r="A186" s="53">
        <v>0.58680555555555503</v>
      </c>
      <c r="B186" s="52">
        <f>Primarios!A176</f>
        <v>170</v>
      </c>
      <c r="C186" s="1">
        <f>Primarios!B176</f>
        <v>0</v>
      </c>
      <c r="D186" s="17">
        <f>Primarios!C176</f>
        <v>0</v>
      </c>
      <c r="E186" s="17">
        <f>Primarios!D176</f>
        <v>0</v>
      </c>
      <c r="F186" s="17">
        <f>Primarios!E176</f>
        <v>0</v>
      </c>
      <c r="G186" s="17">
        <f>Primarios!F176</f>
        <v>0</v>
      </c>
      <c r="H186" s="17">
        <f>Primarios!G176</f>
        <v>0</v>
      </c>
      <c r="I186" s="17">
        <f>Primarios!H176</f>
        <v>0</v>
      </c>
      <c r="J186" s="17">
        <f>Primarios!I176</f>
        <v>0</v>
      </c>
      <c r="K186" s="17">
        <f>Primarios!J176</f>
        <v>0</v>
      </c>
      <c r="L186" s="17">
        <f>Primarios!K176</f>
        <v>0</v>
      </c>
      <c r="M186" s="6"/>
      <c r="N186" s="6"/>
      <c r="O186" s="6"/>
    </row>
    <row r="187" spans="1:15" x14ac:dyDescent="0.25">
      <c r="A187" s="51">
        <v>0.59027777777777801</v>
      </c>
      <c r="B187" s="52">
        <f>Primarios!A177</f>
        <v>171</v>
      </c>
      <c r="C187" s="1">
        <f>Primarios!B177</f>
        <v>0</v>
      </c>
      <c r="D187" s="17">
        <f>Primarios!C177</f>
        <v>0</v>
      </c>
      <c r="E187" s="17">
        <f>Primarios!D177</f>
        <v>0</v>
      </c>
      <c r="F187" s="17">
        <f>Primarios!E177</f>
        <v>0</v>
      </c>
      <c r="G187" s="17">
        <f>Primarios!F177</f>
        <v>0</v>
      </c>
      <c r="H187" s="17">
        <f>Primarios!G177</f>
        <v>0</v>
      </c>
      <c r="I187" s="17">
        <f>Primarios!H177</f>
        <v>0</v>
      </c>
      <c r="J187" s="17">
        <f>Primarios!I177</f>
        <v>0</v>
      </c>
      <c r="K187" s="17">
        <f>Primarios!J177</f>
        <v>0</v>
      </c>
      <c r="L187" s="17">
        <f>Primarios!K177</f>
        <v>0</v>
      </c>
      <c r="M187" s="6"/>
      <c r="N187" s="6"/>
      <c r="O187" s="6"/>
    </row>
    <row r="188" spans="1:15" x14ac:dyDescent="0.25">
      <c r="A188" s="53">
        <v>0.59375</v>
      </c>
      <c r="B188" s="52">
        <f>Primarios!A178</f>
        <v>172</v>
      </c>
      <c r="C188" s="1">
        <f>Primarios!B178</f>
        <v>0</v>
      </c>
      <c r="D188" s="17">
        <f>Primarios!C178</f>
        <v>0</v>
      </c>
      <c r="E188" s="17">
        <f>Primarios!D178</f>
        <v>0</v>
      </c>
      <c r="F188" s="17">
        <f>Primarios!E178</f>
        <v>0</v>
      </c>
      <c r="G188" s="17">
        <f>Primarios!F178</f>
        <v>0</v>
      </c>
      <c r="H188" s="17">
        <f>Primarios!G178</f>
        <v>0</v>
      </c>
      <c r="I188" s="17">
        <f>Primarios!H178</f>
        <v>0</v>
      </c>
      <c r="J188" s="17">
        <f>Primarios!I178</f>
        <v>0</v>
      </c>
      <c r="K188" s="17">
        <f>Primarios!J178</f>
        <v>0</v>
      </c>
      <c r="L188" s="17">
        <f>Primarios!K178</f>
        <v>0</v>
      </c>
      <c r="M188" s="6"/>
      <c r="N188" s="6"/>
      <c r="O188" s="6"/>
    </row>
    <row r="189" spans="1:15" x14ac:dyDescent="0.25">
      <c r="A189" s="51">
        <v>0.59722222222222199</v>
      </c>
      <c r="B189" s="52">
        <f>Primarios!A179</f>
        <v>173</v>
      </c>
      <c r="C189" s="1">
        <f>Primarios!B179</f>
        <v>0</v>
      </c>
      <c r="D189" s="17">
        <f>Primarios!C179</f>
        <v>0</v>
      </c>
      <c r="E189" s="17">
        <f>Primarios!D179</f>
        <v>0</v>
      </c>
      <c r="F189" s="17">
        <f>Primarios!E179</f>
        <v>0</v>
      </c>
      <c r="G189" s="17">
        <f>Primarios!F179</f>
        <v>0</v>
      </c>
      <c r="H189" s="17">
        <f>Primarios!G179</f>
        <v>0</v>
      </c>
      <c r="I189" s="17">
        <f>Primarios!H179</f>
        <v>0</v>
      </c>
      <c r="J189" s="17">
        <f>Primarios!I179</f>
        <v>0</v>
      </c>
      <c r="K189" s="17">
        <f>Primarios!J179</f>
        <v>0</v>
      </c>
      <c r="L189" s="17">
        <f>Primarios!K179</f>
        <v>0</v>
      </c>
      <c r="M189" s="6"/>
      <c r="N189" s="6"/>
      <c r="O189" s="6"/>
    </row>
    <row r="190" spans="1:15" x14ac:dyDescent="0.25">
      <c r="A190" s="53">
        <v>0.60069444444444398</v>
      </c>
      <c r="B190" s="52">
        <f>Primarios!A180</f>
        <v>174</v>
      </c>
      <c r="C190" s="1">
        <f>Primarios!B180</f>
        <v>0</v>
      </c>
      <c r="D190" s="17">
        <f>Primarios!C180</f>
        <v>0</v>
      </c>
      <c r="E190" s="17">
        <f>Primarios!D180</f>
        <v>0</v>
      </c>
      <c r="F190" s="17">
        <f>Primarios!E180</f>
        <v>0</v>
      </c>
      <c r="G190" s="17">
        <f>Primarios!F180</f>
        <v>0</v>
      </c>
      <c r="H190" s="17">
        <f>Primarios!G180</f>
        <v>0</v>
      </c>
      <c r="I190" s="17">
        <f>Primarios!H180</f>
        <v>0</v>
      </c>
      <c r="J190" s="17">
        <f>Primarios!I180</f>
        <v>0</v>
      </c>
      <c r="K190" s="17">
        <f>Primarios!J180</f>
        <v>0</v>
      </c>
      <c r="L190" s="17">
        <f>Primarios!K180</f>
        <v>0</v>
      </c>
      <c r="M190" s="6"/>
      <c r="N190" s="6"/>
      <c r="O190" s="6"/>
    </row>
    <row r="191" spans="1:15" x14ac:dyDescent="0.25">
      <c r="A191" s="51">
        <v>0.60416666666666696</v>
      </c>
      <c r="B191" s="52">
        <f>Primarios!A181</f>
        <v>175</v>
      </c>
      <c r="C191" s="1">
        <f>Primarios!B181</f>
        <v>0</v>
      </c>
      <c r="D191" s="17">
        <f>Primarios!C181</f>
        <v>0</v>
      </c>
      <c r="E191" s="17">
        <f>Primarios!D181</f>
        <v>0</v>
      </c>
      <c r="F191" s="17">
        <f>Primarios!E181</f>
        <v>0</v>
      </c>
      <c r="G191" s="17">
        <f>Primarios!F181</f>
        <v>0</v>
      </c>
      <c r="H191" s="17">
        <f>Primarios!G181</f>
        <v>0</v>
      </c>
      <c r="I191" s="17">
        <f>Primarios!H181</f>
        <v>0</v>
      </c>
      <c r="J191" s="17">
        <f>Primarios!I181</f>
        <v>0</v>
      </c>
      <c r="K191" s="17">
        <f>Primarios!J181</f>
        <v>0</v>
      </c>
      <c r="L191" s="17">
        <f>Primarios!K181</f>
        <v>0</v>
      </c>
      <c r="M191" s="6"/>
      <c r="N191" s="6"/>
      <c r="O191" s="6"/>
    </row>
    <row r="192" spans="1:15" x14ac:dyDescent="0.25">
      <c r="A192" s="53">
        <v>0.60763888888888895</v>
      </c>
      <c r="B192" s="52">
        <f>Primarios!A182</f>
        <v>176</v>
      </c>
      <c r="C192" s="1">
        <f>Primarios!B182</f>
        <v>0</v>
      </c>
      <c r="D192" s="17">
        <f>Primarios!C182</f>
        <v>0</v>
      </c>
      <c r="E192" s="17">
        <f>Primarios!D182</f>
        <v>0</v>
      </c>
      <c r="F192" s="17">
        <f>Primarios!E182</f>
        <v>0</v>
      </c>
      <c r="G192" s="17">
        <f>Primarios!F182</f>
        <v>0</v>
      </c>
      <c r="H192" s="17">
        <f>Primarios!G182</f>
        <v>0</v>
      </c>
      <c r="I192" s="17">
        <f>Primarios!H182</f>
        <v>0</v>
      </c>
      <c r="J192" s="17">
        <f>Primarios!I182</f>
        <v>0</v>
      </c>
      <c r="K192" s="17">
        <f>Primarios!J182</f>
        <v>0</v>
      </c>
      <c r="L192" s="17">
        <f>Primarios!K182</f>
        <v>0</v>
      </c>
      <c r="M192" s="6"/>
      <c r="N192" s="6"/>
      <c r="O192" s="6"/>
    </row>
    <row r="193" spans="1:15" x14ac:dyDescent="0.25">
      <c r="A193" s="51">
        <v>0.61111111111111105</v>
      </c>
      <c r="B193" s="52">
        <f>Primarios!A183</f>
        <v>177</v>
      </c>
      <c r="C193" s="1">
        <f>Primarios!B183</f>
        <v>0</v>
      </c>
      <c r="D193" s="17">
        <f>Primarios!C183</f>
        <v>0</v>
      </c>
      <c r="E193" s="17">
        <f>Primarios!D183</f>
        <v>0</v>
      </c>
      <c r="F193" s="17">
        <f>Primarios!E183</f>
        <v>0</v>
      </c>
      <c r="G193" s="17">
        <f>Primarios!F183</f>
        <v>0</v>
      </c>
      <c r="H193" s="17">
        <f>Primarios!G183</f>
        <v>0</v>
      </c>
      <c r="I193" s="17">
        <f>Primarios!H183</f>
        <v>0</v>
      </c>
      <c r="J193" s="17">
        <f>Primarios!I183</f>
        <v>0</v>
      </c>
      <c r="K193" s="17">
        <f>Primarios!J183</f>
        <v>0</v>
      </c>
      <c r="L193" s="17">
        <f>Primarios!K183</f>
        <v>0</v>
      </c>
      <c r="M193" s="6"/>
      <c r="N193" s="6"/>
      <c r="O193" s="6"/>
    </row>
    <row r="194" spans="1:15" x14ac:dyDescent="0.25">
      <c r="A194" s="53">
        <v>0.61458333333333304</v>
      </c>
      <c r="B194" s="52">
        <f>Primarios!A184</f>
        <v>178</v>
      </c>
      <c r="C194" s="1">
        <f>Primarios!B184</f>
        <v>0</v>
      </c>
      <c r="D194" s="17">
        <f>Primarios!C184</f>
        <v>0</v>
      </c>
      <c r="E194" s="17">
        <f>Primarios!D184</f>
        <v>0</v>
      </c>
      <c r="F194" s="17">
        <f>Primarios!E184</f>
        <v>0</v>
      </c>
      <c r="G194" s="17">
        <f>Primarios!F184</f>
        <v>0</v>
      </c>
      <c r="H194" s="17">
        <f>Primarios!G184</f>
        <v>0</v>
      </c>
      <c r="I194" s="17">
        <f>Primarios!H184</f>
        <v>0</v>
      </c>
      <c r="J194" s="17">
        <f>Primarios!I184</f>
        <v>0</v>
      </c>
      <c r="K194" s="17">
        <f>Primarios!J184</f>
        <v>0</v>
      </c>
      <c r="L194" s="17">
        <f>Primarios!K184</f>
        <v>0</v>
      </c>
      <c r="M194" s="6"/>
      <c r="N194" s="6"/>
      <c r="O194" s="6"/>
    </row>
    <row r="195" spans="1:15" x14ac:dyDescent="0.25">
      <c r="A195" s="51">
        <v>0.61805555555555503</v>
      </c>
      <c r="B195" s="52">
        <f>Primarios!A185</f>
        <v>179</v>
      </c>
      <c r="C195" s="1">
        <f>Primarios!B185</f>
        <v>0</v>
      </c>
      <c r="D195" s="17">
        <f>Primarios!C185</f>
        <v>0</v>
      </c>
      <c r="E195" s="17">
        <f>Primarios!D185</f>
        <v>0</v>
      </c>
      <c r="F195" s="17">
        <f>Primarios!E185</f>
        <v>0</v>
      </c>
      <c r="G195" s="17">
        <f>Primarios!F185</f>
        <v>0</v>
      </c>
      <c r="H195" s="17">
        <f>Primarios!G185</f>
        <v>0</v>
      </c>
      <c r="I195" s="17">
        <f>Primarios!H185</f>
        <v>0</v>
      </c>
      <c r="J195" s="17">
        <f>Primarios!I185</f>
        <v>0</v>
      </c>
      <c r="K195" s="17">
        <f>Primarios!J185</f>
        <v>0</v>
      </c>
      <c r="L195" s="17">
        <f>Primarios!K185</f>
        <v>0</v>
      </c>
      <c r="M195" s="6"/>
      <c r="N195" s="6"/>
      <c r="O195" s="6"/>
    </row>
    <row r="196" spans="1:15" x14ac:dyDescent="0.25">
      <c r="A196" s="53">
        <v>0.62152777777777801</v>
      </c>
      <c r="B196" s="52">
        <f>Primarios!A186</f>
        <v>180</v>
      </c>
      <c r="C196" s="1">
        <f>Primarios!B186</f>
        <v>0</v>
      </c>
      <c r="D196" s="17">
        <f>Primarios!C186</f>
        <v>0</v>
      </c>
      <c r="E196" s="17">
        <f>Primarios!D186</f>
        <v>0</v>
      </c>
      <c r="F196" s="17">
        <f>Primarios!E186</f>
        <v>0</v>
      </c>
      <c r="G196" s="17">
        <f>Primarios!F186</f>
        <v>0</v>
      </c>
      <c r="H196" s="17">
        <f>Primarios!G186</f>
        <v>0</v>
      </c>
      <c r="I196" s="17">
        <f>Primarios!H186</f>
        <v>0</v>
      </c>
      <c r="J196" s="17">
        <f>Primarios!I186</f>
        <v>0</v>
      </c>
      <c r="K196" s="17">
        <f>Primarios!J186</f>
        <v>0</v>
      </c>
      <c r="L196" s="17">
        <f>Primarios!K186</f>
        <v>0</v>
      </c>
      <c r="M196" s="6"/>
      <c r="N196" s="6"/>
      <c r="O196" s="6"/>
    </row>
    <row r="197" spans="1:15" x14ac:dyDescent="0.25">
      <c r="A197" s="51">
        <v>0.625</v>
      </c>
      <c r="B197" s="52">
        <f>Primarios!A187</f>
        <v>181</v>
      </c>
      <c r="C197" s="1">
        <f>Primarios!B187</f>
        <v>0</v>
      </c>
      <c r="D197" s="17">
        <f>Primarios!C187</f>
        <v>0</v>
      </c>
      <c r="E197" s="17">
        <f>Primarios!D187</f>
        <v>0</v>
      </c>
      <c r="F197" s="17">
        <f>Primarios!E187</f>
        <v>0</v>
      </c>
      <c r="G197" s="17">
        <f>Primarios!F187</f>
        <v>0</v>
      </c>
      <c r="H197" s="17">
        <f>Primarios!G187</f>
        <v>0</v>
      </c>
      <c r="I197" s="17">
        <f>Primarios!H187</f>
        <v>0</v>
      </c>
      <c r="J197" s="17">
        <f>Primarios!I187</f>
        <v>0</v>
      </c>
      <c r="K197" s="17">
        <f>Primarios!J187</f>
        <v>0</v>
      </c>
      <c r="L197" s="17">
        <f>Primarios!K187</f>
        <v>0</v>
      </c>
      <c r="M197" s="6"/>
      <c r="N197" s="6"/>
      <c r="O197" s="6"/>
    </row>
    <row r="198" spans="1:15" x14ac:dyDescent="0.25">
      <c r="A198" s="53">
        <v>0.62847222222222199</v>
      </c>
      <c r="B198" s="52">
        <f>Primarios!A188</f>
        <v>182</v>
      </c>
      <c r="C198" s="1">
        <f>Primarios!B188</f>
        <v>0</v>
      </c>
      <c r="D198" s="17">
        <f>Primarios!C188</f>
        <v>0</v>
      </c>
      <c r="E198" s="17">
        <f>Primarios!D188</f>
        <v>0</v>
      </c>
      <c r="F198" s="17">
        <f>Primarios!E188</f>
        <v>0</v>
      </c>
      <c r="G198" s="17">
        <f>Primarios!F188</f>
        <v>0</v>
      </c>
      <c r="H198" s="17">
        <f>Primarios!G188</f>
        <v>0</v>
      </c>
      <c r="I198" s="17">
        <f>Primarios!H188</f>
        <v>0</v>
      </c>
      <c r="J198" s="17">
        <f>Primarios!I188</f>
        <v>0</v>
      </c>
      <c r="K198" s="17">
        <f>Primarios!J188</f>
        <v>0</v>
      </c>
      <c r="L198" s="17">
        <f>Primarios!K188</f>
        <v>0</v>
      </c>
      <c r="M198" s="6"/>
      <c r="N198" s="6"/>
      <c r="O198" s="6"/>
    </row>
    <row r="199" spans="1:15" x14ac:dyDescent="0.25">
      <c r="A199" s="51">
        <v>0.63194444444444398</v>
      </c>
      <c r="B199" s="52">
        <f>Primarios!A189</f>
        <v>183</v>
      </c>
      <c r="C199" s="1">
        <f>Primarios!B189</f>
        <v>0</v>
      </c>
      <c r="D199" s="17">
        <f>Primarios!C189</f>
        <v>0</v>
      </c>
      <c r="E199" s="17">
        <f>Primarios!D189</f>
        <v>0</v>
      </c>
      <c r="F199" s="17">
        <f>Primarios!E189</f>
        <v>0</v>
      </c>
      <c r="G199" s="17">
        <f>Primarios!F189</f>
        <v>0</v>
      </c>
      <c r="H199" s="17">
        <f>Primarios!G189</f>
        <v>0</v>
      </c>
      <c r="I199" s="17">
        <f>Primarios!H189</f>
        <v>0</v>
      </c>
      <c r="J199" s="17">
        <f>Primarios!I189</f>
        <v>0</v>
      </c>
      <c r="K199" s="17">
        <f>Primarios!J189</f>
        <v>0</v>
      </c>
      <c r="L199" s="17">
        <f>Primarios!K189</f>
        <v>0</v>
      </c>
      <c r="M199" s="6"/>
      <c r="N199" s="6"/>
      <c r="O199" s="6"/>
    </row>
    <row r="200" spans="1:15" x14ac:dyDescent="0.25">
      <c r="A200" s="53">
        <v>0.63541666666666696</v>
      </c>
      <c r="B200" s="52">
        <f>Primarios!A190</f>
        <v>184</v>
      </c>
      <c r="C200" s="1">
        <f>Primarios!B190</f>
        <v>0</v>
      </c>
      <c r="D200" s="17">
        <f>Primarios!C190</f>
        <v>0</v>
      </c>
      <c r="E200" s="17">
        <f>Primarios!D190</f>
        <v>0</v>
      </c>
      <c r="F200" s="17">
        <f>Primarios!E190</f>
        <v>0</v>
      </c>
      <c r="G200" s="17">
        <f>Primarios!F190</f>
        <v>0</v>
      </c>
      <c r="H200" s="17">
        <f>Primarios!G190</f>
        <v>0</v>
      </c>
      <c r="I200" s="17">
        <f>Primarios!H190</f>
        <v>0</v>
      </c>
      <c r="J200" s="17">
        <f>Primarios!I190</f>
        <v>0</v>
      </c>
      <c r="K200" s="17">
        <f>Primarios!J190</f>
        <v>0</v>
      </c>
      <c r="L200" s="17">
        <f>Primarios!K190</f>
        <v>0</v>
      </c>
      <c r="M200" s="6"/>
      <c r="N200" s="6"/>
      <c r="O200" s="6"/>
    </row>
    <row r="201" spans="1:15" x14ac:dyDescent="0.25">
      <c r="A201" s="51">
        <v>0.63888888888888895</v>
      </c>
      <c r="B201" s="52">
        <f>Primarios!A191</f>
        <v>185</v>
      </c>
      <c r="C201" s="1">
        <f>Primarios!B191</f>
        <v>0</v>
      </c>
      <c r="D201" s="17">
        <f>Primarios!C191</f>
        <v>0</v>
      </c>
      <c r="E201" s="17">
        <f>Primarios!D191</f>
        <v>0</v>
      </c>
      <c r="F201" s="17">
        <f>Primarios!E191</f>
        <v>0</v>
      </c>
      <c r="G201" s="17">
        <f>Primarios!F191</f>
        <v>0</v>
      </c>
      <c r="H201" s="17">
        <f>Primarios!G191</f>
        <v>0</v>
      </c>
      <c r="I201" s="17">
        <f>Primarios!H191</f>
        <v>0</v>
      </c>
      <c r="J201" s="17">
        <f>Primarios!I191</f>
        <v>0</v>
      </c>
      <c r="K201" s="17">
        <f>Primarios!J191</f>
        <v>0</v>
      </c>
      <c r="L201" s="17">
        <f>Primarios!K191</f>
        <v>0</v>
      </c>
      <c r="M201" s="6"/>
      <c r="N201" s="6"/>
      <c r="O201" s="6"/>
    </row>
    <row r="202" spans="1:15" x14ac:dyDescent="0.25">
      <c r="A202" s="53">
        <v>0.64236111111111105</v>
      </c>
      <c r="B202" s="52">
        <f>Primarios!A192</f>
        <v>186</v>
      </c>
      <c r="C202" s="1">
        <f>Primarios!B192</f>
        <v>0</v>
      </c>
      <c r="D202" s="17">
        <f>Primarios!C192</f>
        <v>0</v>
      </c>
      <c r="E202" s="17">
        <f>Primarios!D192</f>
        <v>0</v>
      </c>
      <c r="F202" s="17">
        <f>Primarios!E192</f>
        <v>0</v>
      </c>
      <c r="G202" s="17">
        <f>Primarios!F192</f>
        <v>0</v>
      </c>
      <c r="H202" s="17">
        <f>Primarios!G192</f>
        <v>0</v>
      </c>
      <c r="I202" s="17">
        <f>Primarios!H192</f>
        <v>0</v>
      </c>
      <c r="J202" s="17">
        <f>Primarios!I192</f>
        <v>0</v>
      </c>
      <c r="K202" s="17">
        <f>Primarios!J192</f>
        <v>0</v>
      </c>
      <c r="L202" s="17">
        <f>Primarios!K192</f>
        <v>0</v>
      </c>
      <c r="M202" s="6"/>
      <c r="N202" s="6"/>
      <c r="O202" s="6"/>
    </row>
    <row r="203" spans="1:15" x14ac:dyDescent="0.25">
      <c r="A203" s="51">
        <v>0.64583333333333304</v>
      </c>
      <c r="B203" s="52">
        <f>Primarios!A193</f>
        <v>187</v>
      </c>
      <c r="C203" s="1">
        <f>Primarios!B193</f>
        <v>0</v>
      </c>
      <c r="D203" s="17">
        <f>Primarios!C193</f>
        <v>0</v>
      </c>
      <c r="E203" s="17">
        <f>Primarios!D193</f>
        <v>0</v>
      </c>
      <c r="F203" s="17">
        <f>Primarios!E193</f>
        <v>0</v>
      </c>
      <c r="G203" s="17">
        <f>Primarios!F193</f>
        <v>0</v>
      </c>
      <c r="H203" s="17">
        <f>Primarios!G193</f>
        <v>0</v>
      </c>
      <c r="I203" s="17">
        <f>Primarios!H193</f>
        <v>0</v>
      </c>
      <c r="J203" s="17">
        <f>Primarios!I193</f>
        <v>0</v>
      </c>
      <c r="K203" s="17">
        <f>Primarios!J193</f>
        <v>0</v>
      </c>
      <c r="L203" s="17">
        <f>Primarios!K193</f>
        <v>0</v>
      </c>
      <c r="M203" s="6"/>
      <c r="N203" s="6"/>
      <c r="O203" s="6"/>
    </row>
    <row r="204" spans="1:15" x14ac:dyDescent="0.25">
      <c r="A204" s="53">
        <v>0.64930555555555503</v>
      </c>
      <c r="B204" s="52">
        <f>Primarios!A194</f>
        <v>188</v>
      </c>
      <c r="C204" s="1">
        <f>Primarios!B194</f>
        <v>0</v>
      </c>
      <c r="D204" s="17">
        <f>Primarios!C194</f>
        <v>0</v>
      </c>
      <c r="E204" s="17">
        <f>Primarios!D194</f>
        <v>0</v>
      </c>
      <c r="F204" s="17">
        <f>Primarios!E194</f>
        <v>0</v>
      </c>
      <c r="G204" s="17">
        <f>Primarios!F194</f>
        <v>0</v>
      </c>
      <c r="H204" s="17">
        <f>Primarios!G194</f>
        <v>0</v>
      </c>
      <c r="I204" s="17">
        <f>Primarios!H194</f>
        <v>0</v>
      </c>
      <c r="J204" s="17">
        <f>Primarios!I194</f>
        <v>0</v>
      </c>
      <c r="K204" s="17">
        <f>Primarios!J194</f>
        <v>0</v>
      </c>
      <c r="L204" s="17">
        <f>Primarios!K194</f>
        <v>0</v>
      </c>
      <c r="M204" s="6"/>
      <c r="N204" s="6"/>
      <c r="O204" s="6"/>
    </row>
    <row r="205" spans="1:15" x14ac:dyDescent="0.25">
      <c r="A205" s="51">
        <v>0.65277777777777801</v>
      </c>
      <c r="B205" s="52">
        <f>Primarios!A195</f>
        <v>189</v>
      </c>
      <c r="C205" s="1">
        <f>Primarios!B195</f>
        <v>0</v>
      </c>
      <c r="D205" s="17">
        <f>Primarios!C195</f>
        <v>0</v>
      </c>
      <c r="E205" s="17">
        <f>Primarios!D195</f>
        <v>0</v>
      </c>
      <c r="F205" s="17">
        <f>Primarios!E195</f>
        <v>0</v>
      </c>
      <c r="G205" s="17">
        <f>Primarios!F195</f>
        <v>0</v>
      </c>
      <c r="H205" s="17">
        <f>Primarios!G195</f>
        <v>0</v>
      </c>
      <c r="I205" s="17">
        <f>Primarios!H195</f>
        <v>0</v>
      </c>
      <c r="J205" s="17">
        <f>Primarios!I195</f>
        <v>0</v>
      </c>
      <c r="K205" s="17">
        <f>Primarios!J195</f>
        <v>0</v>
      </c>
      <c r="L205" s="17">
        <f>Primarios!K195</f>
        <v>0</v>
      </c>
      <c r="M205" s="6"/>
      <c r="N205" s="6"/>
      <c r="O205" s="6"/>
    </row>
    <row r="206" spans="1:15" x14ac:dyDescent="0.25">
      <c r="A206" s="53">
        <v>0.65625</v>
      </c>
      <c r="B206" s="52">
        <f>Primarios!A196</f>
        <v>190</v>
      </c>
      <c r="C206" s="1">
        <f>Primarios!B196</f>
        <v>0</v>
      </c>
      <c r="D206" s="17">
        <f>Primarios!C196</f>
        <v>0</v>
      </c>
      <c r="E206" s="17">
        <f>Primarios!D196</f>
        <v>0</v>
      </c>
      <c r="F206" s="17">
        <f>Primarios!E196</f>
        <v>0</v>
      </c>
      <c r="G206" s="17">
        <f>Primarios!F196</f>
        <v>0</v>
      </c>
      <c r="H206" s="17">
        <f>Primarios!G196</f>
        <v>0</v>
      </c>
      <c r="I206" s="17">
        <f>Primarios!H196</f>
        <v>0</v>
      </c>
      <c r="J206" s="17">
        <f>Primarios!I196</f>
        <v>0</v>
      </c>
      <c r="K206" s="17">
        <f>Primarios!J196</f>
        <v>0</v>
      </c>
      <c r="L206" s="17">
        <f>Primarios!K196</f>
        <v>0</v>
      </c>
      <c r="M206" s="6"/>
      <c r="N206" s="6"/>
      <c r="O206" s="6"/>
    </row>
    <row r="207" spans="1:15" x14ac:dyDescent="0.25">
      <c r="A207" s="51">
        <v>0.65972222222222199</v>
      </c>
      <c r="B207" s="52">
        <f>Primarios!A197</f>
        <v>191</v>
      </c>
      <c r="C207" s="1">
        <f>Primarios!B197</f>
        <v>0</v>
      </c>
      <c r="D207" s="17">
        <f>Primarios!C197</f>
        <v>0</v>
      </c>
      <c r="E207" s="17">
        <f>Primarios!D197</f>
        <v>0</v>
      </c>
      <c r="F207" s="17">
        <f>Primarios!E197</f>
        <v>0</v>
      </c>
      <c r="G207" s="17">
        <f>Primarios!F197</f>
        <v>0</v>
      </c>
      <c r="H207" s="17">
        <f>Primarios!G197</f>
        <v>0</v>
      </c>
      <c r="I207" s="17">
        <f>Primarios!H197</f>
        <v>0</v>
      </c>
      <c r="J207" s="17">
        <f>Primarios!I197</f>
        <v>0</v>
      </c>
      <c r="K207" s="17">
        <f>Primarios!J197</f>
        <v>0</v>
      </c>
      <c r="L207" s="17">
        <f>Primarios!K197</f>
        <v>0</v>
      </c>
      <c r="M207" s="6"/>
      <c r="N207" s="6"/>
      <c r="O207" s="6"/>
    </row>
    <row r="208" spans="1:15" x14ac:dyDescent="0.25">
      <c r="A208" s="53">
        <v>0.66319444444444398</v>
      </c>
      <c r="B208" s="52">
        <f>Primarios!A198</f>
        <v>192</v>
      </c>
      <c r="C208" s="1">
        <f>Primarios!B198</f>
        <v>0</v>
      </c>
      <c r="D208" s="17">
        <f>Primarios!C198</f>
        <v>0</v>
      </c>
      <c r="E208" s="17">
        <f>Primarios!D198</f>
        <v>0</v>
      </c>
      <c r="F208" s="17">
        <f>Primarios!E198</f>
        <v>0</v>
      </c>
      <c r="G208" s="17">
        <f>Primarios!F198</f>
        <v>0</v>
      </c>
      <c r="H208" s="17">
        <f>Primarios!G198</f>
        <v>0</v>
      </c>
      <c r="I208" s="17">
        <f>Primarios!H198</f>
        <v>0</v>
      </c>
      <c r="J208" s="17">
        <f>Primarios!I198</f>
        <v>0</v>
      </c>
      <c r="K208" s="17">
        <f>Primarios!J198</f>
        <v>0</v>
      </c>
      <c r="L208" s="17">
        <f>Primarios!K198</f>
        <v>0</v>
      </c>
      <c r="M208" s="6"/>
      <c r="N208" s="6"/>
      <c r="O208" s="6"/>
    </row>
    <row r="209" spans="1:15" x14ac:dyDescent="0.25">
      <c r="A209" s="51">
        <v>0.66666666666666696</v>
      </c>
      <c r="B209" s="52">
        <f>Primarios!A199</f>
        <v>193</v>
      </c>
      <c r="C209" s="1">
        <f>Primarios!B199</f>
        <v>0</v>
      </c>
      <c r="D209" s="17">
        <f>Primarios!C199</f>
        <v>0</v>
      </c>
      <c r="E209" s="17">
        <f>Primarios!D199</f>
        <v>0</v>
      </c>
      <c r="F209" s="17">
        <f>Primarios!E199</f>
        <v>0</v>
      </c>
      <c r="G209" s="17">
        <f>Primarios!F199</f>
        <v>0</v>
      </c>
      <c r="H209" s="17">
        <f>Primarios!G199</f>
        <v>0</v>
      </c>
      <c r="I209" s="17">
        <f>Primarios!H199</f>
        <v>0</v>
      </c>
      <c r="J209" s="17">
        <f>Primarios!I199</f>
        <v>0</v>
      </c>
      <c r="K209" s="17">
        <f>Primarios!J199</f>
        <v>0</v>
      </c>
      <c r="L209" s="17">
        <f>Primarios!K199</f>
        <v>0</v>
      </c>
      <c r="M209" s="6"/>
      <c r="N209" s="6"/>
      <c r="O209" s="6"/>
    </row>
    <row r="210" spans="1:15" x14ac:dyDescent="0.25">
      <c r="A210" s="53">
        <v>0.67013888888888895</v>
      </c>
      <c r="B210" s="52">
        <f>Primarios!A200</f>
        <v>194</v>
      </c>
      <c r="C210" s="1">
        <f>Primarios!B200</f>
        <v>0</v>
      </c>
      <c r="D210" s="17">
        <f>Primarios!C200</f>
        <v>0</v>
      </c>
      <c r="E210" s="17">
        <f>Primarios!D200</f>
        <v>0</v>
      </c>
      <c r="F210" s="17">
        <f>Primarios!E200</f>
        <v>0</v>
      </c>
      <c r="G210" s="17">
        <f>Primarios!F200</f>
        <v>0</v>
      </c>
      <c r="H210" s="17">
        <f>Primarios!G200</f>
        <v>0</v>
      </c>
      <c r="I210" s="17">
        <f>Primarios!H200</f>
        <v>0</v>
      </c>
      <c r="J210" s="17">
        <f>Primarios!I200</f>
        <v>0</v>
      </c>
      <c r="K210" s="17">
        <f>Primarios!J200</f>
        <v>0</v>
      </c>
      <c r="L210" s="17">
        <f>Primarios!K200</f>
        <v>0</v>
      </c>
      <c r="M210" s="6"/>
      <c r="N210" s="6"/>
      <c r="O210" s="6"/>
    </row>
    <row r="211" spans="1:15" x14ac:dyDescent="0.25">
      <c r="A211" s="51">
        <v>0.67361111111111105</v>
      </c>
      <c r="B211" s="52">
        <f>Primarios!A201</f>
        <v>195</v>
      </c>
      <c r="C211" s="1">
        <f>Primarios!B201</f>
        <v>0</v>
      </c>
      <c r="D211" s="17">
        <f>Primarios!C201</f>
        <v>0</v>
      </c>
      <c r="E211" s="17">
        <f>Primarios!D201</f>
        <v>0</v>
      </c>
      <c r="F211" s="17">
        <f>Primarios!E201</f>
        <v>0</v>
      </c>
      <c r="G211" s="17">
        <f>Primarios!F201</f>
        <v>0</v>
      </c>
      <c r="H211" s="17">
        <f>Primarios!G201</f>
        <v>0</v>
      </c>
      <c r="I211" s="17">
        <f>Primarios!H201</f>
        <v>0</v>
      </c>
      <c r="J211" s="17">
        <f>Primarios!I201</f>
        <v>0</v>
      </c>
      <c r="K211" s="17">
        <f>Primarios!J201</f>
        <v>0</v>
      </c>
      <c r="L211" s="17">
        <f>Primarios!K201</f>
        <v>0</v>
      </c>
      <c r="M211" s="6"/>
      <c r="N211" s="6"/>
      <c r="O211" s="6"/>
    </row>
    <row r="212" spans="1:15" x14ac:dyDescent="0.25">
      <c r="A212" s="53">
        <v>0.67708333333333304</v>
      </c>
      <c r="B212" s="52">
        <f>Primarios!A202</f>
        <v>196</v>
      </c>
      <c r="C212" s="1">
        <f>Primarios!B202</f>
        <v>0</v>
      </c>
      <c r="D212" s="17">
        <f>Primarios!C202</f>
        <v>0</v>
      </c>
      <c r="E212" s="17">
        <f>Primarios!D202</f>
        <v>0</v>
      </c>
      <c r="F212" s="17">
        <f>Primarios!E202</f>
        <v>0</v>
      </c>
      <c r="G212" s="17">
        <f>Primarios!F202</f>
        <v>0</v>
      </c>
      <c r="H212" s="17">
        <f>Primarios!G202</f>
        <v>0</v>
      </c>
      <c r="I212" s="17">
        <f>Primarios!H202</f>
        <v>0</v>
      </c>
      <c r="J212" s="17">
        <f>Primarios!I202</f>
        <v>0</v>
      </c>
      <c r="K212" s="17">
        <f>Primarios!J202</f>
        <v>0</v>
      </c>
      <c r="L212" s="17">
        <f>Primarios!K202</f>
        <v>0</v>
      </c>
      <c r="M212" s="6"/>
      <c r="N212" s="6"/>
      <c r="O212" s="6"/>
    </row>
    <row r="213" spans="1:15" x14ac:dyDescent="0.25">
      <c r="A213" s="51">
        <v>0.68055555555555503</v>
      </c>
      <c r="B213" s="52">
        <f>Primarios!A203</f>
        <v>197</v>
      </c>
      <c r="C213" s="1">
        <f>Primarios!B203</f>
        <v>0</v>
      </c>
      <c r="D213" s="17">
        <f>Primarios!C203</f>
        <v>0</v>
      </c>
      <c r="E213" s="17">
        <f>Primarios!D203</f>
        <v>0</v>
      </c>
      <c r="F213" s="17">
        <f>Primarios!E203</f>
        <v>0</v>
      </c>
      <c r="G213" s="17">
        <f>Primarios!F203</f>
        <v>0</v>
      </c>
      <c r="H213" s="17">
        <f>Primarios!G203</f>
        <v>0</v>
      </c>
      <c r="I213" s="17">
        <f>Primarios!H203</f>
        <v>0</v>
      </c>
      <c r="J213" s="17">
        <f>Primarios!I203</f>
        <v>0</v>
      </c>
      <c r="K213" s="17">
        <f>Primarios!J203</f>
        <v>0</v>
      </c>
      <c r="L213" s="17">
        <f>Primarios!K203</f>
        <v>0</v>
      </c>
      <c r="M213" s="6"/>
      <c r="N213" s="6"/>
      <c r="O213" s="6"/>
    </row>
    <row r="214" spans="1:15" x14ac:dyDescent="0.25">
      <c r="A214" s="53">
        <v>0.68402777777777801</v>
      </c>
      <c r="B214" s="52">
        <f>Primarios!A204</f>
        <v>198</v>
      </c>
      <c r="C214" s="1">
        <f>Primarios!B204</f>
        <v>0</v>
      </c>
      <c r="D214" s="17">
        <f>Primarios!C204</f>
        <v>0</v>
      </c>
      <c r="E214" s="17">
        <f>Primarios!D204</f>
        <v>0</v>
      </c>
      <c r="F214" s="17">
        <f>Primarios!E204</f>
        <v>0</v>
      </c>
      <c r="G214" s="17">
        <f>Primarios!F204</f>
        <v>0</v>
      </c>
      <c r="H214" s="17">
        <f>Primarios!G204</f>
        <v>0</v>
      </c>
      <c r="I214" s="17">
        <f>Primarios!H204</f>
        <v>0</v>
      </c>
      <c r="J214" s="17">
        <f>Primarios!I204</f>
        <v>0</v>
      </c>
      <c r="K214" s="17">
        <f>Primarios!J204</f>
        <v>0</v>
      </c>
      <c r="L214" s="17">
        <f>Primarios!K204</f>
        <v>0</v>
      </c>
      <c r="M214" s="6"/>
      <c r="N214" s="6"/>
      <c r="O214" s="6"/>
    </row>
    <row r="215" spans="1:15" x14ac:dyDescent="0.25">
      <c r="A215" s="51">
        <v>0.6875</v>
      </c>
      <c r="B215" s="52">
        <f>Primarios!A205</f>
        <v>199</v>
      </c>
      <c r="C215" s="1">
        <f>Primarios!B205</f>
        <v>0</v>
      </c>
      <c r="D215" s="17">
        <f>Primarios!C205</f>
        <v>0</v>
      </c>
      <c r="E215" s="17">
        <f>Primarios!D205</f>
        <v>0</v>
      </c>
      <c r="F215" s="17">
        <f>Primarios!E205</f>
        <v>0</v>
      </c>
      <c r="G215" s="17">
        <f>Primarios!F205</f>
        <v>0</v>
      </c>
      <c r="H215" s="17">
        <f>Primarios!G205</f>
        <v>0</v>
      </c>
      <c r="I215" s="17">
        <f>Primarios!H205</f>
        <v>0</v>
      </c>
      <c r="J215" s="17">
        <f>Primarios!I205</f>
        <v>0</v>
      </c>
      <c r="K215" s="17">
        <f>Primarios!J205</f>
        <v>0</v>
      </c>
      <c r="L215" s="17">
        <f>Primarios!K205</f>
        <v>0</v>
      </c>
      <c r="M215" s="6"/>
      <c r="N215" s="6"/>
      <c r="O215" s="6"/>
    </row>
    <row r="216" spans="1:15" x14ac:dyDescent="0.25">
      <c r="A216" s="53">
        <v>0.69097222222222199</v>
      </c>
      <c r="B216" s="52">
        <f>Primarios!A206</f>
        <v>200</v>
      </c>
      <c r="C216" s="1">
        <f>Primarios!B206</f>
        <v>0</v>
      </c>
      <c r="D216" s="17">
        <f>Primarios!C206</f>
        <v>0</v>
      </c>
      <c r="E216" s="17">
        <f>Primarios!D206</f>
        <v>0</v>
      </c>
      <c r="F216" s="17">
        <f>Primarios!E206</f>
        <v>0</v>
      </c>
      <c r="G216" s="17">
        <f>Primarios!F206</f>
        <v>0</v>
      </c>
      <c r="H216" s="17">
        <f>Primarios!G206</f>
        <v>0</v>
      </c>
      <c r="I216" s="17">
        <f>Primarios!H206</f>
        <v>0</v>
      </c>
      <c r="J216" s="17">
        <f>Primarios!I206</f>
        <v>0</v>
      </c>
      <c r="K216" s="17">
        <f>Primarios!J206</f>
        <v>0</v>
      </c>
      <c r="L216" s="17">
        <f>Primarios!K206</f>
        <v>0</v>
      </c>
      <c r="M216" s="6"/>
      <c r="N216" s="6"/>
      <c r="O216" s="6"/>
    </row>
    <row r="217" spans="1:15" x14ac:dyDescent="0.25">
      <c r="A217" s="51">
        <v>0.69444444444444398</v>
      </c>
      <c r="B217" s="52">
        <f>Primarios!A207</f>
        <v>201</v>
      </c>
      <c r="C217" s="1">
        <f>Primarios!B207</f>
        <v>0</v>
      </c>
      <c r="D217" s="17">
        <f>Primarios!C207</f>
        <v>0</v>
      </c>
      <c r="E217" s="17">
        <f>Primarios!D207</f>
        <v>0</v>
      </c>
      <c r="F217" s="17">
        <f>Primarios!E207</f>
        <v>0</v>
      </c>
      <c r="G217" s="17">
        <f>Primarios!F207</f>
        <v>0</v>
      </c>
      <c r="H217" s="17">
        <f>Primarios!G207</f>
        <v>0</v>
      </c>
      <c r="I217" s="17">
        <f>Primarios!H207</f>
        <v>0</v>
      </c>
      <c r="J217" s="17">
        <f>Primarios!I207</f>
        <v>0</v>
      </c>
      <c r="K217" s="17">
        <f>Primarios!J207</f>
        <v>0</v>
      </c>
      <c r="L217" s="17">
        <f>Primarios!K207</f>
        <v>0</v>
      </c>
      <c r="M217" s="6"/>
      <c r="N217" s="6"/>
      <c r="O217" s="6"/>
    </row>
    <row r="218" spans="1:15" x14ac:dyDescent="0.25">
      <c r="A218" s="53">
        <v>0.69791666666666696</v>
      </c>
      <c r="B218" s="52">
        <f>Primarios!A208</f>
        <v>202</v>
      </c>
      <c r="C218" s="1">
        <f>Primarios!B208</f>
        <v>0</v>
      </c>
      <c r="D218" s="17">
        <f>Primarios!C208</f>
        <v>0</v>
      </c>
      <c r="E218" s="17">
        <f>Primarios!D208</f>
        <v>0</v>
      </c>
      <c r="F218" s="17">
        <f>Primarios!E208</f>
        <v>0</v>
      </c>
      <c r="G218" s="17">
        <f>Primarios!F208</f>
        <v>0</v>
      </c>
      <c r="H218" s="17">
        <f>Primarios!G208</f>
        <v>0</v>
      </c>
      <c r="I218" s="17">
        <f>Primarios!H208</f>
        <v>0</v>
      </c>
      <c r="J218" s="17">
        <f>Primarios!I208</f>
        <v>0</v>
      </c>
      <c r="K218" s="17">
        <f>Primarios!J208</f>
        <v>0</v>
      </c>
      <c r="L218" s="17">
        <f>Primarios!K208</f>
        <v>0</v>
      </c>
      <c r="M218" s="6"/>
      <c r="N218" s="6"/>
      <c r="O218" s="6"/>
    </row>
    <row r="219" spans="1:15" x14ac:dyDescent="0.25">
      <c r="A219" s="51">
        <v>0.70138888888888895</v>
      </c>
      <c r="B219" s="52">
        <f>Primarios!A209</f>
        <v>203</v>
      </c>
      <c r="C219" s="1">
        <f>Primarios!B209</f>
        <v>0</v>
      </c>
      <c r="D219" s="17">
        <f>Primarios!C209</f>
        <v>0</v>
      </c>
      <c r="E219" s="17">
        <f>Primarios!D209</f>
        <v>0</v>
      </c>
      <c r="F219" s="17">
        <f>Primarios!E209</f>
        <v>0</v>
      </c>
      <c r="G219" s="17">
        <f>Primarios!F209</f>
        <v>0</v>
      </c>
      <c r="H219" s="17">
        <f>Primarios!G209</f>
        <v>0</v>
      </c>
      <c r="I219" s="17">
        <f>Primarios!H209</f>
        <v>0</v>
      </c>
      <c r="J219" s="17">
        <f>Primarios!I209</f>
        <v>0</v>
      </c>
      <c r="K219" s="17">
        <f>Primarios!J209</f>
        <v>0</v>
      </c>
      <c r="L219" s="17">
        <f>Primarios!K209</f>
        <v>0</v>
      </c>
      <c r="M219" s="6"/>
      <c r="N219" s="6"/>
      <c r="O219" s="6"/>
    </row>
    <row r="220" spans="1:15" x14ac:dyDescent="0.25">
      <c r="A220" s="53">
        <v>0.70486111111111105</v>
      </c>
      <c r="B220" s="52">
        <f>Primarios!A210</f>
        <v>204</v>
      </c>
      <c r="C220" s="1">
        <f>Primarios!B210</f>
        <v>0</v>
      </c>
      <c r="D220" s="17">
        <f>Primarios!C210</f>
        <v>0</v>
      </c>
      <c r="E220" s="17">
        <f>Primarios!D210</f>
        <v>0</v>
      </c>
      <c r="F220" s="17">
        <f>Primarios!E210</f>
        <v>0</v>
      </c>
      <c r="G220" s="17">
        <f>Primarios!F210</f>
        <v>0</v>
      </c>
      <c r="H220" s="17">
        <f>Primarios!G210</f>
        <v>0</v>
      </c>
      <c r="I220" s="17">
        <f>Primarios!H210</f>
        <v>0</v>
      </c>
      <c r="J220" s="17">
        <f>Primarios!I210</f>
        <v>0</v>
      </c>
      <c r="K220" s="17">
        <f>Primarios!J210</f>
        <v>0</v>
      </c>
      <c r="L220" s="17">
        <f>Primarios!K210</f>
        <v>0</v>
      </c>
      <c r="M220" s="6"/>
      <c r="N220" s="6"/>
      <c r="O220" s="6"/>
    </row>
    <row r="221" spans="1:15" x14ac:dyDescent="0.25">
      <c r="A221" s="51">
        <v>0.70833333333333304</v>
      </c>
      <c r="B221" s="52">
        <f>Primarios!A211</f>
        <v>205</v>
      </c>
      <c r="C221" s="1">
        <f>Primarios!B211</f>
        <v>0</v>
      </c>
      <c r="D221" s="17">
        <f>Primarios!C211</f>
        <v>0</v>
      </c>
      <c r="E221" s="17">
        <f>Primarios!D211</f>
        <v>0</v>
      </c>
      <c r="F221" s="17">
        <f>Primarios!E211</f>
        <v>0</v>
      </c>
      <c r="G221" s="17">
        <f>Primarios!F211</f>
        <v>0</v>
      </c>
      <c r="H221" s="17">
        <f>Primarios!G211</f>
        <v>0</v>
      </c>
      <c r="I221" s="17">
        <f>Primarios!H211</f>
        <v>0</v>
      </c>
      <c r="J221" s="17">
        <f>Primarios!I211</f>
        <v>0</v>
      </c>
      <c r="K221" s="17">
        <f>Primarios!J211</f>
        <v>0</v>
      </c>
      <c r="L221" s="17">
        <f>Primarios!K211</f>
        <v>0</v>
      </c>
      <c r="M221" s="6"/>
      <c r="N221" s="6"/>
      <c r="O221" s="6"/>
    </row>
    <row r="222" spans="1:15" x14ac:dyDescent="0.25">
      <c r="A222" s="53">
        <v>0.71180555555555503</v>
      </c>
      <c r="B222" s="52">
        <f>Primarios!A212</f>
        <v>206</v>
      </c>
      <c r="C222" s="1">
        <f>Primarios!B212</f>
        <v>0</v>
      </c>
      <c r="D222" s="17">
        <f>Primarios!C212</f>
        <v>0</v>
      </c>
      <c r="E222" s="17">
        <f>Primarios!D212</f>
        <v>0</v>
      </c>
      <c r="F222" s="17">
        <f>Primarios!E212</f>
        <v>0</v>
      </c>
      <c r="G222" s="17">
        <f>Primarios!F212</f>
        <v>0</v>
      </c>
      <c r="H222" s="17">
        <f>Primarios!G212</f>
        <v>0</v>
      </c>
      <c r="I222" s="17">
        <f>Primarios!H212</f>
        <v>0</v>
      </c>
      <c r="J222" s="17">
        <f>Primarios!I212</f>
        <v>0</v>
      </c>
      <c r="K222" s="17">
        <f>Primarios!J212</f>
        <v>0</v>
      </c>
      <c r="L222" s="17">
        <f>Primarios!K212</f>
        <v>0</v>
      </c>
      <c r="M222" s="6"/>
      <c r="N222" s="6"/>
      <c r="O222" s="6"/>
    </row>
    <row r="223" spans="1:15" x14ac:dyDescent="0.25">
      <c r="A223" s="51">
        <v>0.71527777777777801</v>
      </c>
      <c r="B223" s="52">
        <f>Primarios!A213</f>
        <v>207</v>
      </c>
      <c r="C223" s="1">
        <f>Primarios!B213</f>
        <v>0</v>
      </c>
      <c r="D223" s="17">
        <f>Primarios!C213</f>
        <v>0</v>
      </c>
      <c r="E223" s="17">
        <f>Primarios!D213</f>
        <v>0</v>
      </c>
      <c r="F223" s="17">
        <f>Primarios!E213</f>
        <v>0</v>
      </c>
      <c r="G223" s="17">
        <f>Primarios!F213</f>
        <v>0</v>
      </c>
      <c r="H223" s="17">
        <f>Primarios!G213</f>
        <v>0</v>
      </c>
      <c r="I223" s="17">
        <f>Primarios!H213</f>
        <v>0</v>
      </c>
      <c r="J223" s="17">
        <f>Primarios!I213</f>
        <v>0</v>
      </c>
      <c r="K223" s="17">
        <f>Primarios!J213</f>
        <v>0</v>
      </c>
      <c r="L223" s="17">
        <f>Primarios!K213</f>
        <v>0</v>
      </c>
      <c r="M223" s="6"/>
      <c r="N223" s="6"/>
      <c r="O223" s="6"/>
    </row>
    <row r="224" spans="1:15" x14ac:dyDescent="0.25">
      <c r="A224" s="53">
        <v>0.71875</v>
      </c>
      <c r="B224" s="52">
        <f>Primarios!A214</f>
        <v>208</v>
      </c>
      <c r="C224" s="1">
        <f>Primarios!B214</f>
        <v>0</v>
      </c>
      <c r="D224" s="17">
        <f>Primarios!C214</f>
        <v>0</v>
      </c>
      <c r="E224" s="17">
        <f>Primarios!D214</f>
        <v>0</v>
      </c>
      <c r="F224" s="17">
        <f>Primarios!E214</f>
        <v>0</v>
      </c>
      <c r="G224" s="17">
        <f>Primarios!F214</f>
        <v>0</v>
      </c>
      <c r="H224" s="17">
        <f>Primarios!G214</f>
        <v>0</v>
      </c>
      <c r="I224" s="17">
        <f>Primarios!H214</f>
        <v>0</v>
      </c>
      <c r="J224" s="17">
        <f>Primarios!I214</f>
        <v>0</v>
      </c>
      <c r="K224" s="17">
        <f>Primarios!J214</f>
        <v>0</v>
      </c>
      <c r="L224" s="17">
        <f>Primarios!K214</f>
        <v>0</v>
      </c>
      <c r="M224" s="6"/>
      <c r="N224" s="6"/>
      <c r="O224" s="6"/>
    </row>
    <row r="225" spans="1:15" x14ac:dyDescent="0.25">
      <c r="A225" s="51">
        <v>0.72222222222222199</v>
      </c>
      <c r="B225" s="52">
        <f>Primarios!A215</f>
        <v>209</v>
      </c>
      <c r="C225" s="1">
        <f>Primarios!B215</f>
        <v>0</v>
      </c>
      <c r="D225" s="17">
        <f>Primarios!C215</f>
        <v>0</v>
      </c>
      <c r="E225" s="17">
        <f>Primarios!D215</f>
        <v>0</v>
      </c>
      <c r="F225" s="17">
        <f>Primarios!E215</f>
        <v>0</v>
      </c>
      <c r="G225" s="17">
        <f>Primarios!F215</f>
        <v>0</v>
      </c>
      <c r="H225" s="17">
        <f>Primarios!G215</f>
        <v>0</v>
      </c>
      <c r="I225" s="17">
        <f>Primarios!H215</f>
        <v>0</v>
      </c>
      <c r="J225" s="17">
        <f>Primarios!I215</f>
        <v>0</v>
      </c>
      <c r="K225" s="17">
        <f>Primarios!J215</f>
        <v>0</v>
      </c>
      <c r="L225" s="17">
        <f>Primarios!K215</f>
        <v>0</v>
      </c>
      <c r="M225" s="6"/>
      <c r="N225" s="6"/>
      <c r="O225" s="6"/>
    </row>
    <row r="226" spans="1:15" x14ac:dyDescent="0.25">
      <c r="A226" s="53">
        <v>0.72569444444444398</v>
      </c>
      <c r="B226" s="52">
        <f>Primarios!A216</f>
        <v>210</v>
      </c>
      <c r="C226" s="1">
        <f>Primarios!B216</f>
        <v>0</v>
      </c>
      <c r="D226" s="17">
        <f>Primarios!C216</f>
        <v>0</v>
      </c>
      <c r="E226" s="17">
        <f>Primarios!D216</f>
        <v>0</v>
      </c>
      <c r="F226" s="17">
        <f>Primarios!E216</f>
        <v>0</v>
      </c>
      <c r="G226" s="17">
        <f>Primarios!F216</f>
        <v>0</v>
      </c>
      <c r="H226" s="17">
        <f>Primarios!G216</f>
        <v>0</v>
      </c>
      <c r="I226" s="17">
        <f>Primarios!H216</f>
        <v>0</v>
      </c>
      <c r="J226" s="17">
        <f>Primarios!I216</f>
        <v>0</v>
      </c>
      <c r="K226" s="17">
        <f>Primarios!J216</f>
        <v>0</v>
      </c>
      <c r="L226" s="17">
        <f>Primarios!K216</f>
        <v>0</v>
      </c>
      <c r="M226" s="6"/>
      <c r="N226" s="6"/>
      <c r="O226" s="6"/>
    </row>
    <row r="227" spans="1:15" x14ac:dyDescent="0.25">
      <c r="A227" s="51">
        <v>0.72916666666666696</v>
      </c>
      <c r="B227" s="52">
        <f>Primarios!A217</f>
        <v>211</v>
      </c>
      <c r="C227" s="1">
        <f>Primarios!B217</f>
        <v>0</v>
      </c>
      <c r="D227" s="17">
        <f>Primarios!C217</f>
        <v>0</v>
      </c>
      <c r="E227" s="17">
        <f>Primarios!D217</f>
        <v>0</v>
      </c>
      <c r="F227" s="17">
        <f>Primarios!E217</f>
        <v>0</v>
      </c>
      <c r="G227" s="17">
        <f>Primarios!F217</f>
        <v>0</v>
      </c>
      <c r="H227" s="17">
        <f>Primarios!G217</f>
        <v>0</v>
      </c>
      <c r="I227" s="17">
        <f>Primarios!H217</f>
        <v>0</v>
      </c>
      <c r="J227" s="17">
        <f>Primarios!I217</f>
        <v>0</v>
      </c>
      <c r="K227" s="17">
        <f>Primarios!J217</f>
        <v>0</v>
      </c>
      <c r="L227" s="17">
        <f>Primarios!K217</f>
        <v>0</v>
      </c>
      <c r="M227" s="6"/>
      <c r="N227" s="6"/>
      <c r="O227" s="6"/>
    </row>
    <row r="228" spans="1:15" x14ac:dyDescent="0.25">
      <c r="A228" s="53">
        <v>0.73263888888888895</v>
      </c>
      <c r="B228" s="52">
        <f>Primarios!A218</f>
        <v>212</v>
      </c>
      <c r="C228" s="1">
        <f>Primarios!B218</f>
        <v>0</v>
      </c>
      <c r="D228" s="17">
        <f>Primarios!C218</f>
        <v>0</v>
      </c>
      <c r="E228" s="17">
        <f>Primarios!D218</f>
        <v>0</v>
      </c>
      <c r="F228" s="17">
        <f>Primarios!E218</f>
        <v>0</v>
      </c>
      <c r="G228" s="17">
        <f>Primarios!F218</f>
        <v>0</v>
      </c>
      <c r="H228" s="17">
        <f>Primarios!G218</f>
        <v>0</v>
      </c>
      <c r="I228" s="17">
        <f>Primarios!H218</f>
        <v>0</v>
      </c>
      <c r="J228" s="17">
        <f>Primarios!I218</f>
        <v>0</v>
      </c>
      <c r="K228" s="17">
        <f>Primarios!J218</f>
        <v>0</v>
      </c>
      <c r="L228" s="17">
        <f>Primarios!K218</f>
        <v>0</v>
      </c>
      <c r="M228" s="6"/>
      <c r="N228" s="6"/>
      <c r="O228" s="6"/>
    </row>
    <row r="229" spans="1:15" x14ac:dyDescent="0.25">
      <c r="A229" s="51">
        <v>0.73611111111111105</v>
      </c>
      <c r="B229" s="52">
        <f>Primarios!A219</f>
        <v>213</v>
      </c>
      <c r="C229" s="1">
        <f>Primarios!B219</f>
        <v>0</v>
      </c>
      <c r="D229" s="17">
        <f>Primarios!C219</f>
        <v>0</v>
      </c>
      <c r="E229" s="17">
        <f>Primarios!D219</f>
        <v>0</v>
      </c>
      <c r="F229" s="17">
        <f>Primarios!E219</f>
        <v>0</v>
      </c>
      <c r="G229" s="17">
        <f>Primarios!F219</f>
        <v>0</v>
      </c>
      <c r="H229" s="17">
        <f>Primarios!G219</f>
        <v>0</v>
      </c>
      <c r="I229" s="17">
        <f>Primarios!H219</f>
        <v>0</v>
      </c>
      <c r="J229" s="17">
        <f>Primarios!I219</f>
        <v>0</v>
      </c>
      <c r="K229" s="17">
        <f>Primarios!J219</f>
        <v>0</v>
      </c>
      <c r="L229" s="17">
        <f>Primarios!K219</f>
        <v>0</v>
      </c>
      <c r="M229" s="6"/>
      <c r="N229" s="6"/>
      <c r="O229" s="6"/>
    </row>
    <row r="230" spans="1:15" x14ac:dyDescent="0.25">
      <c r="A230" s="53">
        <v>0.73958333333333304</v>
      </c>
      <c r="B230" s="52">
        <f>Primarios!A220</f>
        <v>214</v>
      </c>
      <c r="C230" s="1">
        <f>Primarios!B220</f>
        <v>0</v>
      </c>
      <c r="D230" s="17">
        <f>Primarios!C220</f>
        <v>0</v>
      </c>
      <c r="E230" s="17">
        <f>Primarios!D220</f>
        <v>0</v>
      </c>
      <c r="F230" s="17">
        <f>Primarios!E220</f>
        <v>0</v>
      </c>
      <c r="G230" s="17">
        <f>Primarios!F220</f>
        <v>0</v>
      </c>
      <c r="H230" s="17">
        <f>Primarios!G220</f>
        <v>0</v>
      </c>
      <c r="I230" s="17">
        <f>Primarios!H220</f>
        <v>0</v>
      </c>
      <c r="J230" s="17">
        <f>Primarios!I220</f>
        <v>0</v>
      </c>
      <c r="K230" s="17">
        <f>Primarios!J220</f>
        <v>0</v>
      </c>
      <c r="L230" s="17">
        <f>Primarios!K220</f>
        <v>0</v>
      </c>
      <c r="M230" s="6"/>
      <c r="N230" s="6"/>
      <c r="O230" s="6"/>
    </row>
    <row r="231" spans="1:15" x14ac:dyDescent="0.25">
      <c r="A231" s="51">
        <v>0.74305555555555503</v>
      </c>
      <c r="B231" s="52">
        <f>Primarios!A221</f>
        <v>215</v>
      </c>
      <c r="C231" s="1">
        <f>Primarios!B221</f>
        <v>0</v>
      </c>
      <c r="D231" s="17">
        <f>Primarios!C221</f>
        <v>0</v>
      </c>
      <c r="E231" s="17">
        <f>Primarios!D221</f>
        <v>0</v>
      </c>
      <c r="F231" s="17">
        <f>Primarios!E221</f>
        <v>0</v>
      </c>
      <c r="G231" s="17">
        <f>Primarios!F221</f>
        <v>0</v>
      </c>
      <c r="H231" s="17">
        <f>Primarios!G221</f>
        <v>0</v>
      </c>
      <c r="I231" s="17">
        <f>Primarios!H221</f>
        <v>0</v>
      </c>
      <c r="J231" s="17">
        <f>Primarios!I221</f>
        <v>0</v>
      </c>
      <c r="K231" s="17">
        <f>Primarios!J221</f>
        <v>0</v>
      </c>
      <c r="L231" s="17">
        <f>Primarios!K221</f>
        <v>0</v>
      </c>
      <c r="M231" s="6"/>
      <c r="N231" s="6"/>
      <c r="O231" s="6"/>
    </row>
    <row r="232" spans="1:15" x14ac:dyDescent="0.25">
      <c r="A232" s="53">
        <v>0.74652777777777801</v>
      </c>
      <c r="B232" s="52">
        <f>Primarios!A222</f>
        <v>216</v>
      </c>
      <c r="C232" s="1">
        <f>Primarios!B222</f>
        <v>0</v>
      </c>
      <c r="D232" s="17">
        <f>Primarios!C222</f>
        <v>0</v>
      </c>
      <c r="E232" s="17">
        <f>Primarios!D222</f>
        <v>0</v>
      </c>
      <c r="F232" s="17">
        <f>Primarios!E222</f>
        <v>0</v>
      </c>
      <c r="G232" s="17">
        <f>Primarios!F222</f>
        <v>0</v>
      </c>
      <c r="H232" s="17">
        <f>Primarios!G222</f>
        <v>0</v>
      </c>
      <c r="I232" s="17">
        <f>Primarios!H222</f>
        <v>0</v>
      </c>
      <c r="J232" s="17">
        <f>Primarios!I222</f>
        <v>0</v>
      </c>
      <c r="K232" s="17">
        <f>Primarios!J222</f>
        <v>0</v>
      </c>
      <c r="L232" s="17">
        <f>Primarios!K222</f>
        <v>0</v>
      </c>
      <c r="M232" s="6"/>
      <c r="N232" s="6"/>
      <c r="O232" s="6"/>
    </row>
    <row r="233" spans="1:15" x14ac:dyDescent="0.25">
      <c r="A233" s="51">
        <v>0.75</v>
      </c>
      <c r="B233" s="52">
        <f>Primarios!A223</f>
        <v>217</v>
      </c>
      <c r="C233" s="1">
        <f>Primarios!B223</f>
        <v>0</v>
      </c>
      <c r="D233" s="17">
        <f>Primarios!C223</f>
        <v>0</v>
      </c>
      <c r="E233" s="17">
        <f>Primarios!D223</f>
        <v>0</v>
      </c>
      <c r="F233" s="17">
        <f>Primarios!E223</f>
        <v>0</v>
      </c>
      <c r="G233" s="17">
        <f>Primarios!F223</f>
        <v>0</v>
      </c>
      <c r="H233" s="17">
        <f>Primarios!G223</f>
        <v>0</v>
      </c>
      <c r="I233" s="17">
        <f>Primarios!H223</f>
        <v>0</v>
      </c>
      <c r="J233" s="17">
        <f>Primarios!I223</f>
        <v>0</v>
      </c>
      <c r="K233" s="17">
        <f>Primarios!J223</f>
        <v>0</v>
      </c>
      <c r="L233" s="17">
        <f>Primarios!K223</f>
        <v>0</v>
      </c>
      <c r="M233" s="6"/>
      <c r="N233" s="6"/>
      <c r="O233" s="6"/>
    </row>
    <row r="234" spans="1:15" x14ac:dyDescent="0.25">
      <c r="A234" s="53">
        <v>0.75347222222222199</v>
      </c>
      <c r="B234" s="52">
        <f>Primarios!A224</f>
        <v>218</v>
      </c>
      <c r="C234" s="1">
        <f>Primarios!B224</f>
        <v>0</v>
      </c>
      <c r="D234" s="17">
        <f>Primarios!C224</f>
        <v>0</v>
      </c>
      <c r="E234" s="17">
        <f>Primarios!D224</f>
        <v>0</v>
      </c>
      <c r="F234" s="17">
        <f>Primarios!E224</f>
        <v>0</v>
      </c>
      <c r="G234" s="17">
        <f>Primarios!F224</f>
        <v>0</v>
      </c>
      <c r="H234" s="17">
        <f>Primarios!G224</f>
        <v>0</v>
      </c>
      <c r="I234" s="17">
        <f>Primarios!H224</f>
        <v>0</v>
      </c>
      <c r="J234" s="17">
        <f>Primarios!I224</f>
        <v>0</v>
      </c>
      <c r="K234" s="17">
        <f>Primarios!J224</f>
        <v>0</v>
      </c>
      <c r="L234" s="17">
        <f>Primarios!K224</f>
        <v>0</v>
      </c>
      <c r="M234" s="6"/>
      <c r="N234" s="6"/>
      <c r="O234" s="6"/>
    </row>
    <row r="235" spans="1:15" x14ac:dyDescent="0.25">
      <c r="A235" s="51">
        <v>0.75694444444444398</v>
      </c>
      <c r="B235" s="52">
        <f>Primarios!A225</f>
        <v>219</v>
      </c>
      <c r="C235" s="1">
        <f>Primarios!B225</f>
        <v>0</v>
      </c>
      <c r="D235" s="17">
        <f>Primarios!C225</f>
        <v>0</v>
      </c>
      <c r="E235" s="17">
        <f>Primarios!D225</f>
        <v>0</v>
      </c>
      <c r="F235" s="17">
        <f>Primarios!E225</f>
        <v>0</v>
      </c>
      <c r="G235" s="17">
        <f>Primarios!F225</f>
        <v>0</v>
      </c>
      <c r="H235" s="17">
        <f>Primarios!G225</f>
        <v>0</v>
      </c>
      <c r="I235" s="17">
        <f>Primarios!H225</f>
        <v>0</v>
      </c>
      <c r="J235" s="17">
        <f>Primarios!I225</f>
        <v>0</v>
      </c>
      <c r="K235" s="17">
        <f>Primarios!J225</f>
        <v>0</v>
      </c>
      <c r="L235" s="17">
        <f>Primarios!K225</f>
        <v>0</v>
      </c>
      <c r="M235" s="6"/>
      <c r="N235" s="6"/>
      <c r="O235" s="6"/>
    </row>
    <row r="236" spans="1:15" x14ac:dyDescent="0.25">
      <c r="A236" s="53">
        <v>0.76041666666666696</v>
      </c>
      <c r="B236" s="52">
        <f>Primarios!A226</f>
        <v>220</v>
      </c>
      <c r="C236" s="1">
        <f>Primarios!B226</f>
        <v>0</v>
      </c>
      <c r="D236" s="17">
        <f>Primarios!C226</f>
        <v>0</v>
      </c>
      <c r="E236" s="17">
        <f>Primarios!D226</f>
        <v>0</v>
      </c>
      <c r="F236" s="17">
        <f>Primarios!E226</f>
        <v>0</v>
      </c>
      <c r="G236" s="17">
        <f>Primarios!F226</f>
        <v>0</v>
      </c>
      <c r="H236" s="17">
        <f>Primarios!G226</f>
        <v>0</v>
      </c>
      <c r="I236" s="17">
        <f>Primarios!H226</f>
        <v>0</v>
      </c>
      <c r="J236" s="17">
        <f>Primarios!I226</f>
        <v>0</v>
      </c>
      <c r="K236" s="17">
        <f>Primarios!J226</f>
        <v>0</v>
      </c>
      <c r="L236" s="17">
        <f>Primarios!K226</f>
        <v>0</v>
      </c>
      <c r="M236" s="6"/>
      <c r="N236" s="6"/>
      <c r="O236" s="6"/>
    </row>
    <row r="237" spans="1:15" x14ac:dyDescent="0.25">
      <c r="A237" s="51">
        <v>0.76388888888888895</v>
      </c>
      <c r="B237" s="52">
        <f>Primarios!A227</f>
        <v>221</v>
      </c>
      <c r="C237" s="1">
        <f>Primarios!B227</f>
        <v>0</v>
      </c>
      <c r="D237" s="17">
        <f>Primarios!C227</f>
        <v>0</v>
      </c>
      <c r="E237" s="17">
        <f>Primarios!D227</f>
        <v>0</v>
      </c>
      <c r="F237" s="17">
        <f>Primarios!E227</f>
        <v>0</v>
      </c>
      <c r="G237" s="17">
        <f>Primarios!F227</f>
        <v>0</v>
      </c>
      <c r="H237" s="17">
        <f>Primarios!G227</f>
        <v>0</v>
      </c>
      <c r="I237" s="17">
        <f>Primarios!H227</f>
        <v>0</v>
      </c>
      <c r="J237" s="17">
        <f>Primarios!I227</f>
        <v>0</v>
      </c>
      <c r="K237" s="17">
        <f>Primarios!J227</f>
        <v>0</v>
      </c>
      <c r="L237" s="17">
        <f>Primarios!K227</f>
        <v>0</v>
      </c>
      <c r="M237" s="6"/>
      <c r="N237" s="6"/>
      <c r="O237" s="6"/>
    </row>
    <row r="238" spans="1:15" x14ac:dyDescent="0.25">
      <c r="A238" s="53">
        <v>0.76736111111111105</v>
      </c>
      <c r="B238" s="52">
        <f>Primarios!A228</f>
        <v>222</v>
      </c>
      <c r="C238" s="1">
        <f>Primarios!B228</f>
        <v>0</v>
      </c>
      <c r="D238" s="17">
        <f>Primarios!C228</f>
        <v>0</v>
      </c>
      <c r="E238" s="17">
        <f>Primarios!D228</f>
        <v>0</v>
      </c>
      <c r="F238" s="17">
        <f>Primarios!E228</f>
        <v>0</v>
      </c>
      <c r="G238" s="17">
        <f>Primarios!F228</f>
        <v>0</v>
      </c>
      <c r="H238" s="17">
        <f>Primarios!G228</f>
        <v>0</v>
      </c>
      <c r="I238" s="17">
        <f>Primarios!H228</f>
        <v>0</v>
      </c>
      <c r="J238" s="17">
        <f>Primarios!I228</f>
        <v>0</v>
      </c>
      <c r="K238" s="17">
        <f>Primarios!J228</f>
        <v>0</v>
      </c>
      <c r="L238" s="17">
        <f>Primarios!K228</f>
        <v>0</v>
      </c>
      <c r="M238" s="6"/>
      <c r="N238" s="6"/>
      <c r="O238" s="6"/>
    </row>
    <row r="239" spans="1:15" x14ac:dyDescent="0.25">
      <c r="A239" s="51">
        <v>0.77083333333333304</v>
      </c>
      <c r="B239" s="52">
        <f>Primarios!A229</f>
        <v>223</v>
      </c>
      <c r="C239" s="1">
        <f>Primarios!B229</f>
        <v>0</v>
      </c>
      <c r="D239" s="17">
        <f>Primarios!C229</f>
        <v>0</v>
      </c>
      <c r="E239" s="17">
        <f>Primarios!D229</f>
        <v>0</v>
      </c>
      <c r="F239" s="17">
        <f>Primarios!E229</f>
        <v>0</v>
      </c>
      <c r="G239" s="17">
        <f>Primarios!F229</f>
        <v>0</v>
      </c>
      <c r="H239" s="17">
        <f>Primarios!G229</f>
        <v>0</v>
      </c>
      <c r="I239" s="17">
        <f>Primarios!H229</f>
        <v>0</v>
      </c>
      <c r="J239" s="17">
        <f>Primarios!I229</f>
        <v>0</v>
      </c>
      <c r="K239" s="17">
        <f>Primarios!J229</f>
        <v>0</v>
      </c>
      <c r="L239" s="17">
        <f>Primarios!K229</f>
        <v>0</v>
      </c>
      <c r="M239" s="6"/>
      <c r="N239" s="6"/>
      <c r="O239" s="6"/>
    </row>
    <row r="240" spans="1:15" x14ac:dyDescent="0.25">
      <c r="A240" s="53">
        <v>0.77430555555555503</v>
      </c>
      <c r="B240" s="52">
        <f>Primarios!A230</f>
        <v>224</v>
      </c>
      <c r="C240" s="1">
        <f>Primarios!B230</f>
        <v>0</v>
      </c>
      <c r="D240" s="17">
        <f>Primarios!C230</f>
        <v>0</v>
      </c>
      <c r="E240" s="17">
        <f>Primarios!D230</f>
        <v>0</v>
      </c>
      <c r="F240" s="17">
        <f>Primarios!E230</f>
        <v>0</v>
      </c>
      <c r="G240" s="17">
        <f>Primarios!F230</f>
        <v>0</v>
      </c>
      <c r="H240" s="17">
        <f>Primarios!G230</f>
        <v>0</v>
      </c>
      <c r="I240" s="17">
        <f>Primarios!H230</f>
        <v>0</v>
      </c>
      <c r="J240" s="17">
        <f>Primarios!I230</f>
        <v>0</v>
      </c>
      <c r="K240" s="17">
        <f>Primarios!J230</f>
        <v>0</v>
      </c>
      <c r="L240" s="17">
        <f>Primarios!K230</f>
        <v>0</v>
      </c>
      <c r="M240" s="6"/>
      <c r="N240" s="6"/>
      <c r="O240" s="6"/>
    </row>
    <row r="241" spans="1:15" x14ac:dyDescent="0.25">
      <c r="A241" s="51">
        <v>0.77777777777777801</v>
      </c>
      <c r="B241" s="52">
        <f>Primarios!A231</f>
        <v>225</v>
      </c>
      <c r="C241" s="1">
        <f>Primarios!B231</f>
        <v>0</v>
      </c>
      <c r="D241" s="17">
        <f>Primarios!C231</f>
        <v>0</v>
      </c>
      <c r="E241" s="17">
        <f>Primarios!D231</f>
        <v>0</v>
      </c>
      <c r="F241" s="17">
        <f>Primarios!E231</f>
        <v>0</v>
      </c>
      <c r="G241" s="17">
        <f>Primarios!F231</f>
        <v>0</v>
      </c>
      <c r="H241" s="17">
        <f>Primarios!G231</f>
        <v>0</v>
      </c>
      <c r="I241" s="17">
        <f>Primarios!H231</f>
        <v>0</v>
      </c>
      <c r="J241" s="17">
        <f>Primarios!I231</f>
        <v>0</v>
      </c>
      <c r="K241" s="17">
        <f>Primarios!J231</f>
        <v>0</v>
      </c>
      <c r="L241" s="17">
        <f>Primarios!K231</f>
        <v>0</v>
      </c>
      <c r="M241" s="6"/>
      <c r="N241" s="6"/>
      <c r="O241" s="6"/>
    </row>
    <row r="242" spans="1:15" x14ac:dyDescent="0.25">
      <c r="A242" s="53">
        <v>0.78125</v>
      </c>
      <c r="B242" s="52">
        <f>Primarios!A232</f>
        <v>226</v>
      </c>
      <c r="C242" s="1">
        <f>Primarios!B232</f>
        <v>0</v>
      </c>
      <c r="D242" s="17">
        <f>Primarios!C232</f>
        <v>0</v>
      </c>
      <c r="E242" s="17">
        <f>Primarios!D232</f>
        <v>0</v>
      </c>
      <c r="F242" s="17">
        <f>Primarios!E232</f>
        <v>0</v>
      </c>
      <c r="G242" s="17">
        <f>Primarios!F232</f>
        <v>0</v>
      </c>
      <c r="H242" s="17">
        <f>Primarios!G232</f>
        <v>0</v>
      </c>
      <c r="I242" s="17">
        <f>Primarios!H232</f>
        <v>0</v>
      </c>
      <c r="J242" s="17">
        <f>Primarios!I232</f>
        <v>0</v>
      </c>
      <c r="K242" s="17">
        <f>Primarios!J232</f>
        <v>0</v>
      </c>
      <c r="L242" s="17">
        <f>Primarios!K232</f>
        <v>0</v>
      </c>
      <c r="M242" s="6"/>
      <c r="N242" s="6"/>
      <c r="O242" s="6"/>
    </row>
    <row r="243" spans="1:15" x14ac:dyDescent="0.25">
      <c r="A243" s="51">
        <v>0.78472222222222199</v>
      </c>
      <c r="B243" s="52">
        <f>Primarios!A233</f>
        <v>227</v>
      </c>
      <c r="C243" s="1">
        <f>Primarios!B233</f>
        <v>0</v>
      </c>
      <c r="D243" s="17">
        <f>Primarios!C233</f>
        <v>0</v>
      </c>
      <c r="E243" s="17">
        <f>Primarios!D233</f>
        <v>0</v>
      </c>
      <c r="F243" s="17">
        <f>Primarios!E233</f>
        <v>0</v>
      </c>
      <c r="G243" s="17">
        <f>Primarios!F233</f>
        <v>0</v>
      </c>
      <c r="H243" s="17">
        <f>Primarios!G233</f>
        <v>0</v>
      </c>
      <c r="I243" s="17">
        <f>Primarios!H233</f>
        <v>0</v>
      </c>
      <c r="J243" s="17">
        <f>Primarios!I233</f>
        <v>0</v>
      </c>
      <c r="K243" s="17">
        <f>Primarios!J233</f>
        <v>0</v>
      </c>
      <c r="L243" s="17">
        <f>Primarios!K233</f>
        <v>0</v>
      </c>
      <c r="M243" s="6"/>
      <c r="N243" s="6"/>
      <c r="O243" s="6"/>
    </row>
    <row r="244" spans="1:15" x14ac:dyDescent="0.25">
      <c r="A244" s="53">
        <v>0.78819444444444398</v>
      </c>
      <c r="B244" s="52">
        <f>Primarios!A234</f>
        <v>228</v>
      </c>
      <c r="C244" s="1">
        <f>Primarios!B234</f>
        <v>0</v>
      </c>
      <c r="D244" s="17">
        <f>Primarios!C234</f>
        <v>0</v>
      </c>
      <c r="E244" s="17">
        <f>Primarios!D234</f>
        <v>0</v>
      </c>
      <c r="F244" s="17">
        <f>Primarios!E234</f>
        <v>0</v>
      </c>
      <c r="G244" s="17">
        <f>Primarios!F234</f>
        <v>0</v>
      </c>
      <c r="H244" s="17">
        <f>Primarios!G234</f>
        <v>0</v>
      </c>
      <c r="I244" s="17">
        <f>Primarios!H234</f>
        <v>0</v>
      </c>
      <c r="J244" s="17">
        <f>Primarios!I234</f>
        <v>0</v>
      </c>
      <c r="K244" s="17">
        <f>Primarios!J234</f>
        <v>0</v>
      </c>
      <c r="L244" s="17">
        <f>Primarios!K234</f>
        <v>0</v>
      </c>
      <c r="M244" s="6"/>
      <c r="N244" s="6"/>
      <c r="O244" s="6"/>
    </row>
    <row r="245" spans="1:15" x14ac:dyDescent="0.25">
      <c r="A245" s="51">
        <v>0.79166666666666696</v>
      </c>
      <c r="B245" s="52">
        <f>Primarios!A235</f>
        <v>229</v>
      </c>
      <c r="C245" s="1">
        <f>Primarios!B235</f>
        <v>0</v>
      </c>
      <c r="D245" s="17">
        <f>Primarios!C235</f>
        <v>0</v>
      </c>
      <c r="E245" s="17">
        <f>Primarios!D235</f>
        <v>0</v>
      </c>
      <c r="F245" s="17">
        <f>Primarios!E235</f>
        <v>0</v>
      </c>
      <c r="G245" s="17">
        <f>Primarios!F235</f>
        <v>0</v>
      </c>
      <c r="H245" s="17">
        <f>Primarios!G235</f>
        <v>0</v>
      </c>
      <c r="I245" s="17">
        <f>Primarios!H235</f>
        <v>0</v>
      </c>
      <c r="J245" s="17">
        <f>Primarios!I235</f>
        <v>0</v>
      </c>
      <c r="K245" s="17">
        <f>Primarios!J235</f>
        <v>0</v>
      </c>
      <c r="L245" s="17">
        <f>Primarios!K235</f>
        <v>0</v>
      </c>
      <c r="M245" s="6"/>
      <c r="N245" s="6"/>
      <c r="O245" s="6"/>
    </row>
    <row r="246" spans="1:15" x14ac:dyDescent="0.25">
      <c r="A246" s="51">
        <v>0.79513888888888795</v>
      </c>
      <c r="B246" s="52">
        <f>Primarios!A236</f>
        <v>230</v>
      </c>
      <c r="C246" s="1">
        <f>Primarios!B236</f>
        <v>0</v>
      </c>
      <c r="D246" s="17">
        <f>Primarios!C236</f>
        <v>0</v>
      </c>
      <c r="E246" s="17">
        <f>Primarios!D236</f>
        <v>0</v>
      </c>
      <c r="F246" s="17">
        <f>Primarios!E236</f>
        <v>0</v>
      </c>
      <c r="G246" s="17">
        <f>Primarios!F236</f>
        <v>0</v>
      </c>
      <c r="H246" s="17">
        <f>Primarios!G236</f>
        <v>0</v>
      </c>
      <c r="I246" s="17">
        <f>Primarios!H236</f>
        <v>0</v>
      </c>
      <c r="J246" s="17">
        <f>Primarios!I236</f>
        <v>0</v>
      </c>
      <c r="K246" s="17">
        <f>Primarios!J236</f>
        <v>0</v>
      </c>
      <c r="L246" s="17">
        <f>Primarios!K236</f>
        <v>0</v>
      </c>
      <c r="M246" s="6"/>
      <c r="N246" s="6"/>
      <c r="O246" s="6"/>
    </row>
    <row r="247" spans="1:15" x14ac:dyDescent="0.25">
      <c r="A247" s="53">
        <v>0.79861111111111005</v>
      </c>
      <c r="B247" s="52">
        <f>Primarios!A237</f>
        <v>231</v>
      </c>
      <c r="C247" s="1">
        <f>Primarios!B237</f>
        <v>0</v>
      </c>
      <c r="D247" s="17">
        <f>Primarios!C237</f>
        <v>0</v>
      </c>
      <c r="E247" s="17">
        <f>Primarios!D237</f>
        <v>0</v>
      </c>
      <c r="F247" s="17">
        <f>Primarios!E237</f>
        <v>0</v>
      </c>
      <c r="G247" s="17">
        <f>Primarios!F237</f>
        <v>0</v>
      </c>
      <c r="H247" s="17">
        <f>Primarios!G237</f>
        <v>0</v>
      </c>
      <c r="I247" s="17">
        <f>Primarios!H237</f>
        <v>0</v>
      </c>
      <c r="J247" s="17">
        <f>Primarios!I237</f>
        <v>0</v>
      </c>
      <c r="K247" s="17">
        <f>Primarios!J237</f>
        <v>0</v>
      </c>
      <c r="L247" s="17">
        <f>Primarios!K237</f>
        <v>0</v>
      </c>
      <c r="M247" s="6"/>
      <c r="N247" s="6"/>
      <c r="O247" s="6"/>
    </row>
    <row r="248" spans="1:15" x14ac:dyDescent="0.25">
      <c r="A248" s="51">
        <v>0.80208333333333204</v>
      </c>
      <c r="B248" s="52">
        <f>Primarios!A238</f>
        <v>232</v>
      </c>
      <c r="C248" s="1">
        <f>Primarios!B238</f>
        <v>0</v>
      </c>
      <c r="D248" s="17">
        <f>Primarios!C238</f>
        <v>0</v>
      </c>
      <c r="E248" s="17">
        <f>Primarios!D238</f>
        <v>0</v>
      </c>
      <c r="F248" s="17">
        <f>Primarios!E238</f>
        <v>0</v>
      </c>
      <c r="G248" s="17">
        <f>Primarios!F238</f>
        <v>0</v>
      </c>
      <c r="H248" s="17">
        <f>Primarios!G238</f>
        <v>0</v>
      </c>
      <c r="I248" s="17">
        <f>Primarios!H238</f>
        <v>0</v>
      </c>
      <c r="J248" s="17">
        <f>Primarios!I238</f>
        <v>0</v>
      </c>
      <c r="K248" s="17">
        <f>Primarios!J238</f>
        <v>0</v>
      </c>
      <c r="L248" s="17">
        <f>Primarios!K238</f>
        <v>0</v>
      </c>
      <c r="M248" s="6"/>
      <c r="N248" s="6"/>
      <c r="O248" s="6"/>
    </row>
    <row r="249" spans="1:15" x14ac:dyDescent="0.25">
      <c r="A249" s="53">
        <v>0.80555555555555403</v>
      </c>
      <c r="B249" s="52">
        <f>Primarios!A239</f>
        <v>233</v>
      </c>
      <c r="C249" s="1">
        <f>Primarios!B239</f>
        <v>0</v>
      </c>
      <c r="D249" s="17">
        <f>Primarios!C239</f>
        <v>0</v>
      </c>
      <c r="E249" s="17">
        <f>Primarios!D239</f>
        <v>0</v>
      </c>
      <c r="F249" s="17">
        <f>Primarios!E239</f>
        <v>0</v>
      </c>
      <c r="G249" s="17">
        <f>Primarios!F239</f>
        <v>0</v>
      </c>
      <c r="H249" s="17">
        <f>Primarios!G239</f>
        <v>0</v>
      </c>
      <c r="I249" s="17">
        <f>Primarios!H239</f>
        <v>0</v>
      </c>
      <c r="J249" s="17">
        <f>Primarios!I239</f>
        <v>0</v>
      </c>
      <c r="K249" s="17">
        <f>Primarios!J239</f>
        <v>0</v>
      </c>
      <c r="L249" s="17">
        <f>Primarios!K239</f>
        <v>0</v>
      </c>
      <c r="M249" s="6"/>
      <c r="N249" s="6"/>
      <c r="O249" s="6"/>
    </row>
    <row r="250" spans="1:15" x14ac:dyDescent="0.25">
      <c r="A250" s="51">
        <v>0.80902777777777601</v>
      </c>
      <c r="B250" s="52">
        <f>Primarios!A240</f>
        <v>234</v>
      </c>
      <c r="C250" s="1">
        <f>Primarios!B240</f>
        <v>0</v>
      </c>
      <c r="D250" s="17">
        <f>Primarios!C240</f>
        <v>0</v>
      </c>
      <c r="E250" s="17">
        <f>Primarios!D240</f>
        <v>0</v>
      </c>
      <c r="F250" s="17">
        <f>Primarios!E240</f>
        <v>0</v>
      </c>
      <c r="G250" s="17">
        <f>Primarios!F240</f>
        <v>0</v>
      </c>
      <c r="H250" s="17">
        <f>Primarios!G240</f>
        <v>0</v>
      </c>
      <c r="I250" s="17">
        <f>Primarios!H240</f>
        <v>0</v>
      </c>
      <c r="J250" s="17">
        <f>Primarios!I240</f>
        <v>0</v>
      </c>
      <c r="K250" s="17">
        <f>Primarios!J240</f>
        <v>0</v>
      </c>
      <c r="L250" s="17">
        <f>Primarios!K240</f>
        <v>0</v>
      </c>
      <c r="M250" s="6"/>
      <c r="N250" s="6"/>
      <c r="O250" s="6"/>
    </row>
    <row r="251" spans="1:15" x14ac:dyDescent="0.25">
      <c r="A251" s="51">
        <v>0.812499999999998</v>
      </c>
      <c r="B251" s="52">
        <f>Primarios!A241</f>
        <v>235</v>
      </c>
      <c r="C251" s="1">
        <f>Primarios!B241</f>
        <v>0</v>
      </c>
      <c r="D251" s="17">
        <f>Primarios!C241</f>
        <v>0</v>
      </c>
      <c r="E251" s="17">
        <f>Primarios!D241</f>
        <v>0</v>
      </c>
      <c r="F251" s="17">
        <f>Primarios!E241</f>
        <v>0</v>
      </c>
      <c r="G251" s="17">
        <f>Primarios!F241</f>
        <v>0</v>
      </c>
      <c r="H251" s="17">
        <f>Primarios!G241</f>
        <v>0</v>
      </c>
      <c r="I251" s="17">
        <f>Primarios!H241</f>
        <v>0</v>
      </c>
      <c r="J251" s="17">
        <f>Primarios!I241</f>
        <v>0</v>
      </c>
      <c r="K251" s="17">
        <f>Primarios!J241</f>
        <v>0</v>
      </c>
      <c r="L251" s="17">
        <f>Primarios!K241</f>
        <v>0</v>
      </c>
      <c r="M251" s="6"/>
      <c r="N251" s="6"/>
      <c r="O251" s="6"/>
    </row>
    <row r="252" spans="1:15" x14ac:dyDescent="0.25">
      <c r="A252" s="53">
        <v>0.81597222222221999</v>
      </c>
      <c r="B252" s="52">
        <f>Primarios!A242</f>
        <v>236</v>
      </c>
      <c r="C252" s="1">
        <f>Primarios!B242</f>
        <v>0</v>
      </c>
      <c r="D252" s="17">
        <f>Primarios!C242</f>
        <v>0</v>
      </c>
      <c r="E252" s="17">
        <f>Primarios!D242</f>
        <v>0</v>
      </c>
      <c r="F252" s="17">
        <f>Primarios!E242</f>
        <v>0</v>
      </c>
      <c r="G252" s="17">
        <f>Primarios!F242</f>
        <v>0</v>
      </c>
      <c r="H252" s="17">
        <f>Primarios!G242</f>
        <v>0</v>
      </c>
      <c r="I252" s="17">
        <f>Primarios!H242</f>
        <v>0</v>
      </c>
      <c r="J252" s="17">
        <f>Primarios!I242</f>
        <v>0</v>
      </c>
      <c r="K252" s="17">
        <f>Primarios!J242</f>
        <v>0</v>
      </c>
      <c r="L252" s="17">
        <f>Primarios!K242</f>
        <v>0</v>
      </c>
      <c r="M252" s="6"/>
      <c r="N252" s="6"/>
      <c r="O252" s="6"/>
    </row>
    <row r="253" spans="1:15" x14ac:dyDescent="0.25">
      <c r="A253" s="51">
        <v>0.81944444444444198</v>
      </c>
      <c r="B253" s="52">
        <f>Primarios!A243</f>
        <v>237</v>
      </c>
      <c r="C253" s="1">
        <f>Primarios!B243</f>
        <v>0</v>
      </c>
      <c r="D253" s="17">
        <f>Primarios!C243</f>
        <v>0</v>
      </c>
      <c r="E253" s="17">
        <f>Primarios!D243</f>
        <v>0</v>
      </c>
      <c r="F253" s="17">
        <f>Primarios!E243</f>
        <v>0</v>
      </c>
      <c r="G253" s="17">
        <f>Primarios!F243</f>
        <v>0</v>
      </c>
      <c r="H253" s="17">
        <f>Primarios!G243</f>
        <v>0</v>
      </c>
      <c r="I253" s="17">
        <f>Primarios!H243</f>
        <v>0</v>
      </c>
      <c r="J253" s="17">
        <f>Primarios!I243</f>
        <v>0</v>
      </c>
      <c r="K253" s="17">
        <f>Primarios!J243</f>
        <v>0</v>
      </c>
      <c r="L253" s="17">
        <f>Primarios!K243</f>
        <v>0</v>
      </c>
      <c r="M253" s="6"/>
      <c r="N253" s="6"/>
      <c r="O253" s="6"/>
    </row>
    <row r="254" spans="1:15" x14ac:dyDescent="0.25">
      <c r="A254" s="53">
        <v>0.82291666666666397</v>
      </c>
      <c r="B254" s="52">
        <f>Primarios!A244</f>
        <v>238</v>
      </c>
      <c r="C254" s="1">
        <f>Primarios!B244</f>
        <v>0</v>
      </c>
      <c r="D254" s="17">
        <f>Primarios!C244</f>
        <v>0</v>
      </c>
      <c r="E254" s="17">
        <f>Primarios!D244</f>
        <v>0</v>
      </c>
      <c r="F254" s="17">
        <f>Primarios!E244</f>
        <v>0</v>
      </c>
      <c r="G254" s="17">
        <f>Primarios!F244</f>
        <v>0</v>
      </c>
      <c r="H254" s="17">
        <f>Primarios!G244</f>
        <v>0</v>
      </c>
      <c r="I254" s="17">
        <f>Primarios!H244</f>
        <v>0</v>
      </c>
      <c r="J254" s="17">
        <f>Primarios!I244</f>
        <v>0</v>
      </c>
      <c r="K254" s="17">
        <f>Primarios!J244</f>
        <v>0</v>
      </c>
      <c r="L254" s="17">
        <f>Primarios!K244</f>
        <v>0</v>
      </c>
      <c r="M254" s="6"/>
      <c r="N254" s="6"/>
      <c r="O254" s="6"/>
    </row>
    <row r="255" spans="1:15" x14ac:dyDescent="0.25">
      <c r="A255" s="51">
        <v>0.82638888888888595</v>
      </c>
      <c r="B255" s="52">
        <f>Primarios!A245</f>
        <v>239</v>
      </c>
      <c r="C255" s="1">
        <f>Primarios!B245</f>
        <v>0</v>
      </c>
      <c r="D255" s="17">
        <f>Primarios!C245</f>
        <v>0</v>
      </c>
      <c r="E255" s="17">
        <f>Primarios!D245</f>
        <v>0</v>
      </c>
      <c r="F255" s="17">
        <f>Primarios!E245</f>
        <v>0</v>
      </c>
      <c r="G255" s="17">
        <f>Primarios!F245</f>
        <v>0</v>
      </c>
      <c r="H255" s="17">
        <f>Primarios!G245</f>
        <v>0</v>
      </c>
      <c r="I255" s="17">
        <f>Primarios!H245</f>
        <v>0</v>
      </c>
      <c r="J255" s="17">
        <f>Primarios!I245</f>
        <v>0</v>
      </c>
      <c r="K255" s="17">
        <f>Primarios!J245</f>
        <v>0</v>
      </c>
      <c r="L255" s="17">
        <f>Primarios!K245</f>
        <v>0</v>
      </c>
      <c r="M255" s="6"/>
      <c r="N255" s="6"/>
      <c r="O255" s="6"/>
    </row>
    <row r="256" spans="1:15" x14ac:dyDescent="0.25">
      <c r="A256" s="51">
        <v>0.82986111111110805</v>
      </c>
      <c r="B256" s="52">
        <f>Primarios!A246</f>
        <v>240</v>
      </c>
      <c r="C256" s="1">
        <f>Primarios!B246</f>
        <v>0</v>
      </c>
      <c r="D256" s="17">
        <f>Primarios!C246</f>
        <v>0</v>
      </c>
      <c r="E256" s="17">
        <f>Primarios!D246</f>
        <v>0</v>
      </c>
      <c r="F256" s="17">
        <f>Primarios!E246</f>
        <v>0</v>
      </c>
      <c r="G256" s="17">
        <f>Primarios!F246</f>
        <v>0</v>
      </c>
      <c r="H256" s="17">
        <f>Primarios!G246</f>
        <v>0</v>
      </c>
      <c r="I256" s="17">
        <f>Primarios!H246</f>
        <v>0</v>
      </c>
      <c r="J256" s="17">
        <f>Primarios!I246</f>
        <v>0</v>
      </c>
      <c r="K256" s="17">
        <f>Primarios!J246</f>
        <v>0</v>
      </c>
      <c r="L256" s="17">
        <f>Primarios!K246</f>
        <v>0</v>
      </c>
      <c r="M256" s="6"/>
      <c r="N256" s="6"/>
      <c r="O256" s="6"/>
    </row>
    <row r="257" spans="1:15" x14ac:dyDescent="0.25">
      <c r="A257" s="51">
        <v>0.83333333333333004</v>
      </c>
      <c r="B257" s="52">
        <f>Primarios!A247</f>
        <v>241</v>
      </c>
      <c r="C257" s="1">
        <f>Primarios!B247</f>
        <v>0</v>
      </c>
      <c r="D257" s="17">
        <f>Primarios!C247</f>
        <v>0</v>
      </c>
      <c r="E257" s="17">
        <f>Primarios!D247</f>
        <v>0</v>
      </c>
      <c r="F257" s="17">
        <f>Primarios!E247</f>
        <v>0</v>
      </c>
      <c r="G257" s="17">
        <f>Primarios!F247</f>
        <v>0</v>
      </c>
      <c r="H257" s="17">
        <f>Primarios!G247</f>
        <v>0</v>
      </c>
      <c r="I257" s="17">
        <f>Primarios!H247</f>
        <v>0</v>
      </c>
      <c r="J257" s="17">
        <f>Primarios!I247</f>
        <v>0</v>
      </c>
      <c r="K257" s="17">
        <f>Primarios!J247</f>
        <v>0</v>
      </c>
      <c r="L257" s="17">
        <f>Primarios!K247</f>
        <v>0</v>
      </c>
      <c r="M257" s="6"/>
      <c r="N257" s="6"/>
      <c r="O257" s="6"/>
    </row>
    <row r="258" spans="1:15" x14ac:dyDescent="0.25">
      <c r="A258" s="51">
        <v>0.83680555555555203</v>
      </c>
      <c r="B258" s="52">
        <f>Primarios!A248</f>
        <v>242</v>
      </c>
      <c r="C258" s="1">
        <f>Primarios!B248</f>
        <v>0</v>
      </c>
      <c r="D258" s="17">
        <f>Primarios!C248</f>
        <v>0</v>
      </c>
      <c r="E258" s="17">
        <f>Primarios!D248</f>
        <v>0</v>
      </c>
      <c r="F258" s="17">
        <f>Primarios!E248</f>
        <v>0</v>
      </c>
      <c r="G258" s="17">
        <f>Primarios!F248</f>
        <v>0</v>
      </c>
      <c r="H258" s="17">
        <f>Primarios!G248</f>
        <v>0</v>
      </c>
      <c r="I258" s="17">
        <f>Primarios!H248</f>
        <v>0</v>
      </c>
      <c r="J258" s="17">
        <f>Primarios!I248</f>
        <v>0</v>
      </c>
      <c r="K258" s="17">
        <f>Primarios!J248</f>
        <v>0</v>
      </c>
      <c r="L258" s="17">
        <f>Primarios!K248</f>
        <v>0</v>
      </c>
      <c r="M258" s="6"/>
      <c r="N258" s="6"/>
      <c r="O258" s="6"/>
    </row>
    <row r="259" spans="1:15" x14ac:dyDescent="0.25">
      <c r="A259" s="51">
        <v>0.84027777777777402</v>
      </c>
      <c r="B259" s="52">
        <f>Primarios!A249</f>
        <v>243</v>
      </c>
      <c r="C259" s="1">
        <f>Primarios!B249</f>
        <v>0</v>
      </c>
      <c r="D259" s="17">
        <f>Primarios!C249</f>
        <v>0</v>
      </c>
      <c r="E259" s="17">
        <f>Primarios!D249</f>
        <v>0</v>
      </c>
      <c r="F259" s="17">
        <f>Primarios!E249</f>
        <v>0</v>
      </c>
      <c r="G259" s="17">
        <f>Primarios!F249</f>
        <v>0</v>
      </c>
      <c r="H259" s="17">
        <f>Primarios!G249</f>
        <v>0</v>
      </c>
      <c r="I259" s="17">
        <f>Primarios!H249</f>
        <v>0</v>
      </c>
      <c r="J259" s="17">
        <f>Primarios!I249</f>
        <v>0</v>
      </c>
      <c r="K259" s="17">
        <f>Primarios!J249</f>
        <v>0</v>
      </c>
      <c r="L259" s="17">
        <f>Primarios!K249</f>
        <v>0</v>
      </c>
      <c r="M259" s="6"/>
      <c r="N259" s="6"/>
      <c r="O259" s="6"/>
    </row>
    <row r="260" spans="1:15" x14ac:dyDescent="0.25">
      <c r="A260" s="51">
        <v>0.843749999999996</v>
      </c>
      <c r="B260" s="52">
        <f>Primarios!A250</f>
        <v>244</v>
      </c>
      <c r="C260" s="1">
        <f>Primarios!B250</f>
        <v>0</v>
      </c>
      <c r="D260" s="17">
        <f>Primarios!C250</f>
        <v>0</v>
      </c>
      <c r="E260" s="17">
        <f>Primarios!D250</f>
        <v>0</v>
      </c>
      <c r="F260" s="17">
        <f>Primarios!E250</f>
        <v>0</v>
      </c>
      <c r="G260" s="17">
        <f>Primarios!F250</f>
        <v>0</v>
      </c>
      <c r="H260" s="17">
        <f>Primarios!G250</f>
        <v>0</v>
      </c>
      <c r="I260" s="17">
        <f>Primarios!H250</f>
        <v>0</v>
      </c>
      <c r="J260" s="17">
        <f>Primarios!I250</f>
        <v>0</v>
      </c>
      <c r="K260" s="17">
        <f>Primarios!J250</f>
        <v>0</v>
      </c>
      <c r="L260" s="17">
        <f>Primarios!K250</f>
        <v>0</v>
      </c>
      <c r="M260" s="6"/>
      <c r="N260" s="6"/>
      <c r="O260" s="6"/>
    </row>
    <row r="261" spans="1:15" x14ac:dyDescent="0.25">
      <c r="A261" s="51">
        <v>0.84722222222221899</v>
      </c>
      <c r="B261" s="52">
        <f>Primarios!A251</f>
        <v>245</v>
      </c>
      <c r="C261" s="1">
        <f>Primarios!B251</f>
        <v>0</v>
      </c>
      <c r="D261" s="17">
        <f>Primarios!C251</f>
        <v>0</v>
      </c>
      <c r="E261" s="17">
        <f>Primarios!D251</f>
        <v>0</v>
      </c>
      <c r="F261" s="17">
        <f>Primarios!E251</f>
        <v>0</v>
      </c>
      <c r="G261" s="17">
        <f>Primarios!F251</f>
        <v>0</v>
      </c>
      <c r="H261" s="17">
        <f>Primarios!G251</f>
        <v>0</v>
      </c>
      <c r="I261" s="17">
        <f>Primarios!H251</f>
        <v>0</v>
      </c>
      <c r="J261" s="17">
        <f>Primarios!I251</f>
        <v>0</v>
      </c>
      <c r="K261" s="17">
        <f>Primarios!J251</f>
        <v>0</v>
      </c>
      <c r="L261" s="17">
        <f>Primarios!K251</f>
        <v>0</v>
      </c>
      <c r="M261" s="6"/>
      <c r="N261" s="6"/>
      <c r="O261" s="6"/>
    </row>
    <row r="262" spans="1:15" x14ac:dyDescent="0.25">
      <c r="A262" s="51">
        <v>0.85069444444444098</v>
      </c>
      <c r="B262" s="52">
        <f>Primarios!A252</f>
        <v>246</v>
      </c>
      <c r="C262" s="1">
        <f>Primarios!B252</f>
        <v>0</v>
      </c>
      <c r="D262" s="17">
        <f>Primarios!C252</f>
        <v>0</v>
      </c>
      <c r="E262" s="17">
        <f>Primarios!D252</f>
        <v>0</v>
      </c>
      <c r="F262" s="17">
        <f>Primarios!E252</f>
        <v>0</v>
      </c>
      <c r="G262" s="17">
        <f>Primarios!F252</f>
        <v>0</v>
      </c>
      <c r="H262" s="17">
        <f>Primarios!G252</f>
        <v>0</v>
      </c>
      <c r="I262" s="17">
        <f>Primarios!H252</f>
        <v>0</v>
      </c>
      <c r="J262" s="17">
        <f>Primarios!I252</f>
        <v>0</v>
      </c>
      <c r="K262" s="17">
        <f>Primarios!J252</f>
        <v>0</v>
      </c>
      <c r="L262" s="17">
        <f>Primarios!K252</f>
        <v>0</v>
      </c>
      <c r="M262" s="6"/>
      <c r="N262" s="6"/>
      <c r="O262" s="6"/>
    </row>
    <row r="263" spans="1:15" x14ac:dyDescent="0.25">
      <c r="A263" s="51">
        <v>0.85416666666666297</v>
      </c>
      <c r="B263" s="52">
        <f>Primarios!A253</f>
        <v>247</v>
      </c>
      <c r="C263" s="1">
        <f>Primarios!B253</f>
        <v>0</v>
      </c>
      <c r="D263" s="17">
        <f>Primarios!C253</f>
        <v>0</v>
      </c>
      <c r="E263" s="17">
        <f>Primarios!D253</f>
        <v>0</v>
      </c>
      <c r="F263" s="17">
        <f>Primarios!E253</f>
        <v>0</v>
      </c>
      <c r="G263" s="17">
        <f>Primarios!F253</f>
        <v>0</v>
      </c>
      <c r="H263" s="17">
        <f>Primarios!G253</f>
        <v>0</v>
      </c>
      <c r="I263" s="17">
        <f>Primarios!H253</f>
        <v>0</v>
      </c>
      <c r="J263" s="17">
        <f>Primarios!I253</f>
        <v>0</v>
      </c>
      <c r="K263" s="17">
        <f>Primarios!J253</f>
        <v>0</v>
      </c>
      <c r="L263" s="17">
        <f>Primarios!K253</f>
        <v>0</v>
      </c>
      <c r="M263" s="6"/>
      <c r="N263" s="6"/>
      <c r="O263" s="6"/>
    </row>
    <row r="264" spans="1:15" x14ac:dyDescent="0.25">
      <c r="A264" s="51">
        <v>0.85763888888888495</v>
      </c>
      <c r="B264" s="52">
        <f>Primarios!A254</f>
        <v>248</v>
      </c>
      <c r="C264" s="1">
        <f>Primarios!B254</f>
        <v>0</v>
      </c>
      <c r="D264" s="17">
        <f>Primarios!C254</f>
        <v>0</v>
      </c>
      <c r="E264" s="17">
        <f>Primarios!D254</f>
        <v>0</v>
      </c>
      <c r="F264" s="17">
        <f>Primarios!E254</f>
        <v>0</v>
      </c>
      <c r="G264" s="17">
        <f>Primarios!F254</f>
        <v>0</v>
      </c>
      <c r="H264" s="17">
        <f>Primarios!G254</f>
        <v>0</v>
      </c>
      <c r="I264" s="17">
        <f>Primarios!H254</f>
        <v>0</v>
      </c>
      <c r="J264" s="17">
        <f>Primarios!I254</f>
        <v>0</v>
      </c>
      <c r="K264" s="17">
        <f>Primarios!J254</f>
        <v>0</v>
      </c>
      <c r="L264" s="17">
        <f>Primarios!K254</f>
        <v>0</v>
      </c>
      <c r="M264" s="6"/>
      <c r="N264" s="6"/>
      <c r="O264" s="6"/>
    </row>
    <row r="265" spans="1:15" x14ac:dyDescent="0.25">
      <c r="A265" s="51">
        <v>0.86111111111110705</v>
      </c>
      <c r="B265" s="52">
        <f>Primarios!A255</f>
        <v>249</v>
      </c>
      <c r="C265" s="1">
        <f>Primarios!B255</f>
        <v>0</v>
      </c>
      <c r="D265" s="17">
        <f>Primarios!C255</f>
        <v>0</v>
      </c>
      <c r="E265" s="17">
        <f>Primarios!D255</f>
        <v>0</v>
      </c>
      <c r="F265" s="17">
        <f>Primarios!E255</f>
        <v>0</v>
      </c>
      <c r="G265" s="17">
        <f>Primarios!F255</f>
        <v>0</v>
      </c>
      <c r="H265" s="17">
        <f>Primarios!G255</f>
        <v>0</v>
      </c>
      <c r="I265" s="17">
        <f>Primarios!H255</f>
        <v>0</v>
      </c>
      <c r="J265" s="17">
        <f>Primarios!I255</f>
        <v>0</v>
      </c>
      <c r="K265" s="17">
        <f>Primarios!J255</f>
        <v>0</v>
      </c>
      <c r="L265" s="17">
        <f>Primarios!K255</f>
        <v>0</v>
      </c>
      <c r="M265" s="6"/>
      <c r="N265" s="6"/>
      <c r="O265" s="6"/>
    </row>
    <row r="266" spans="1:15" x14ac:dyDescent="0.25">
      <c r="A266" s="51">
        <v>0.86458333333332904</v>
      </c>
      <c r="B266" s="52">
        <f>Primarios!A256</f>
        <v>250</v>
      </c>
      <c r="C266" s="1">
        <f>Primarios!B256</f>
        <v>0</v>
      </c>
      <c r="D266" s="17">
        <f>Primarios!C256</f>
        <v>0</v>
      </c>
      <c r="E266" s="17">
        <f>Primarios!D256</f>
        <v>0</v>
      </c>
      <c r="F266" s="17">
        <f>Primarios!E256</f>
        <v>0</v>
      </c>
      <c r="G266" s="17">
        <f>Primarios!F256</f>
        <v>0</v>
      </c>
      <c r="H266" s="17">
        <f>Primarios!G256</f>
        <v>0</v>
      </c>
      <c r="I266" s="17">
        <f>Primarios!H256</f>
        <v>0</v>
      </c>
      <c r="J266" s="17">
        <f>Primarios!I256</f>
        <v>0</v>
      </c>
      <c r="K266" s="17">
        <f>Primarios!J256</f>
        <v>0</v>
      </c>
      <c r="L266" s="17">
        <f>Primarios!K256</f>
        <v>0</v>
      </c>
      <c r="M266" s="6"/>
      <c r="N266" s="6"/>
      <c r="O266" s="6"/>
    </row>
    <row r="267" spans="1:15" x14ac:dyDescent="0.25">
      <c r="A267" s="51">
        <v>0.86805555555555103</v>
      </c>
      <c r="B267" s="52">
        <f>Primarios!A257</f>
        <v>251</v>
      </c>
      <c r="C267" s="1">
        <f>Primarios!B257</f>
        <v>0</v>
      </c>
      <c r="D267" s="17">
        <f>Primarios!C257</f>
        <v>0</v>
      </c>
      <c r="E267" s="17">
        <f>Primarios!D257</f>
        <v>0</v>
      </c>
      <c r="F267" s="17">
        <f>Primarios!E257</f>
        <v>0</v>
      </c>
      <c r="G267" s="17">
        <f>Primarios!F257</f>
        <v>0</v>
      </c>
      <c r="H267" s="17">
        <f>Primarios!G257</f>
        <v>0</v>
      </c>
      <c r="I267" s="17">
        <f>Primarios!H257</f>
        <v>0</v>
      </c>
      <c r="J267" s="17">
        <f>Primarios!I257</f>
        <v>0</v>
      </c>
      <c r="K267" s="17">
        <f>Primarios!J257</f>
        <v>0</v>
      </c>
      <c r="L267" s="17">
        <f>Primarios!K257</f>
        <v>0</v>
      </c>
      <c r="M267" s="6"/>
      <c r="N267" s="6"/>
      <c r="O267" s="6"/>
    </row>
    <row r="268" spans="1:15" x14ac:dyDescent="0.25">
      <c r="A268" s="51">
        <v>0.87152777777777302</v>
      </c>
      <c r="B268" s="52">
        <f>Primarios!A258</f>
        <v>252</v>
      </c>
      <c r="C268" s="1">
        <f>Primarios!B258</f>
        <v>0</v>
      </c>
      <c r="D268" s="17">
        <f>Primarios!C258</f>
        <v>0</v>
      </c>
      <c r="E268" s="17">
        <f>Primarios!D258</f>
        <v>0</v>
      </c>
      <c r="F268" s="17">
        <f>Primarios!E258</f>
        <v>0</v>
      </c>
      <c r="G268" s="17">
        <f>Primarios!F258</f>
        <v>0</v>
      </c>
      <c r="H268" s="17">
        <f>Primarios!G258</f>
        <v>0</v>
      </c>
      <c r="I268" s="17">
        <f>Primarios!H258</f>
        <v>0</v>
      </c>
      <c r="J268" s="17">
        <f>Primarios!I258</f>
        <v>0</v>
      </c>
      <c r="K268" s="17">
        <f>Primarios!J258</f>
        <v>0</v>
      </c>
      <c r="L268" s="17">
        <f>Primarios!K258</f>
        <v>0</v>
      </c>
      <c r="M268" s="6"/>
      <c r="N268" s="6"/>
      <c r="O268" s="6"/>
    </row>
    <row r="269" spans="1:15" x14ac:dyDescent="0.25">
      <c r="A269" s="51">
        <v>0.874999999999995</v>
      </c>
      <c r="B269" s="52">
        <f>Primarios!A259</f>
        <v>253</v>
      </c>
      <c r="C269" s="1">
        <f>Primarios!B259</f>
        <v>0</v>
      </c>
      <c r="D269" s="17">
        <f>Primarios!C259</f>
        <v>0</v>
      </c>
      <c r="E269" s="17">
        <f>Primarios!D259</f>
        <v>0</v>
      </c>
      <c r="F269" s="17">
        <f>Primarios!E259</f>
        <v>0</v>
      </c>
      <c r="G269" s="17">
        <f>Primarios!F259</f>
        <v>0</v>
      </c>
      <c r="H269" s="17">
        <f>Primarios!G259</f>
        <v>0</v>
      </c>
      <c r="I269" s="17">
        <f>Primarios!H259</f>
        <v>0</v>
      </c>
      <c r="J269" s="17">
        <f>Primarios!I259</f>
        <v>0</v>
      </c>
      <c r="K269" s="17">
        <f>Primarios!J259</f>
        <v>0</v>
      </c>
      <c r="L269" s="17">
        <f>Primarios!K259</f>
        <v>0</v>
      </c>
      <c r="M269" s="6"/>
      <c r="N269" s="6"/>
      <c r="O269" s="6"/>
    </row>
    <row r="270" spans="1:15" x14ac:dyDescent="0.25">
      <c r="A270" s="51">
        <v>0.87847222222221699</v>
      </c>
      <c r="B270" s="52">
        <f>Primarios!A260</f>
        <v>254</v>
      </c>
      <c r="C270" s="1">
        <f>Primarios!B260</f>
        <v>0</v>
      </c>
      <c r="D270" s="17">
        <f>Primarios!C260</f>
        <v>0</v>
      </c>
      <c r="E270" s="17">
        <f>Primarios!D260</f>
        <v>0</v>
      </c>
      <c r="F270" s="17">
        <f>Primarios!E260</f>
        <v>0</v>
      </c>
      <c r="G270" s="17">
        <f>Primarios!F260</f>
        <v>0</v>
      </c>
      <c r="H270" s="17">
        <f>Primarios!G260</f>
        <v>0</v>
      </c>
      <c r="I270" s="17">
        <f>Primarios!H260</f>
        <v>0</v>
      </c>
      <c r="J270" s="17">
        <f>Primarios!I260</f>
        <v>0</v>
      </c>
      <c r="K270" s="17">
        <f>Primarios!J260</f>
        <v>0</v>
      </c>
      <c r="L270" s="17">
        <f>Primarios!K260</f>
        <v>0</v>
      </c>
      <c r="M270" s="6"/>
      <c r="N270" s="6"/>
      <c r="O270" s="6"/>
    </row>
    <row r="271" spans="1:15" x14ac:dyDescent="0.25">
      <c r="A271" s="51">
        <v>0.88194444444443898</v>
      </c>
      <c r="B271" s="52">
        <f>Primarios!A261</f>
        <v>255</v>
      </c>
      <c r="C271" s="1">
        <f>Primarios!B261</f>
        <v>0</v>
      </c>
      <c r="D271" s="17">
        <f>Primarios!C261</f>
        <v>0</v>
      </c>
      <c r="E271" s="17">
        <f>Primarios!D261</f>
        <v>0</v>
      </c>
      <c r="F271" s="17">
        <f>Primarios!E261</f>
        <v>0</v>
      </c>
      <c r="G271" s="17">
        <f>Primarios!F261</f>
        <v>0</v>
      </c>
      <c r="H271" s="17">
        <f>Primarios!G261</f>
        <v>0</v>
      </c>
      <c r="I271" s="17">
        <f>Primarios!H261</f>
        <v>0</v>
      </c>
      <c r="J271" s="17">
        <f>Primarios!I261</f>
        <v>0</v>
      </c>
      <c r="K271" s="17">
        <f>Primarios!J261</f>
        <v>0</v>
      </c>
      <c r="L271" s="17">
        <f>Primarios!K261</f>
        <v>0</v>
      </c>
      <c r="M271" s="6"/>
      <c r="N271" s="6"/>
      <c r="O271" s="6"/>
    </row>
    <row r="272" spans="1:15" x14ac:dyDescent="0.25">
      <c r="A272" s="51">
        <v>0.88541666666666097</v>
      </c>
      <c r="B272" s="52">
        <f>Primarios!A262</f>
        <v>256</v>
      </c>
      <c r="C272" s="1">
        <f>Primarios!B262</f>
        <v>0</v>
      </c>
      <c r="D272" s="17">
        <f>Primarios!C262</f>
        <v>0</v>
      </c>
      <c r="E272" s="17">
        <f>Primarios!D262</f>
        <v>0</v>
      </c>
      <c r="F272" s="17">
        <f>Primarios!E262</f>
        <v>0</v>
      </c>
      <c r="G272" s="17">
        <f>Primarios!F262</f>
        <v>0</v>
      </c>
      <c r="H272" s="17">
        <f>Primarios!G262</f>
        <v>0</v>
      </c>
      <c r="I272" s="17">
        <f>Primarios!H262</f>
        <v>0</v>
      </c>
      <c r="J272" s="17">
        <f>Primarios!I262</f>
        <v>0</v>
      </c>
      <c r="K272" s="17">
        <f>Primarios!J262</f>
        <v>0</v>
      </c>
      <c r="L272" s="17">
        <f>Primarios!K262</f>
        <v>0</v>
      </c>
      <c r="M272" s="6"/>
      <c r="N272" s="6"/>
      <c r="O272" s="6"/>
    </row>
    <row r="273" spans="1:15" x14ac:dyDescent="0.25">
      <c r="A273" s="51">
        <v>0.88888888888888296</v>
      </c>
      <c r="B273" s="52">
        <f>Primarios!A263</f>
        <v>257</v>
      </c>
      <c r="C273" s="1">
        <f>Primarios!B263</f>
        <v>0</v>
      </c>
      <c r="D273" s="17">
        <f>Primarios!C263</f>
        <v>0</v>
      </c>
      <c r="E273" s="17">
        <f>Primarios!D263</f>
        <v>0</v>
      </c>
      <c r="F273" s="17">
        <f>Primarios!E263</f>
        <v>0</v>
      </c>
      <c r="G273" s="17">
        <f>Primarios!F263</f>
        <v>0</v>
      </c>
      <c r="H273" s="17">
        <f>Primarios!G263</f>
        <v>0</v>
      </c>
      <c r="I273" s="17">
        <f>Primarios!H263</f>
        <v>0</v>
      </c>
      <c r="J273" s="17">
        <f>Primarios!I263</f>
        <v>0</v>
      </c>
      <c r="K273" s="17">
        <f>Primarios!J263</f>
        <v>0</v>
      </c>
      <c r="L273" s="17">
        <f>Primarios!K263</f>
        <v>0</v>
      </c>
      <c r="M273" s="6"/>
      <c r="N273" s="6"/>
      <c r="O273" s="6"/>
    </row>
    <row r="274" spans="1:15" x14ac:dyDescent="0.25">
      <c r="A274" s="51">
        <v>0.89236111111110505</v>
      </c>
      <c r="B274" s="52">
        <f>Primarios!A264</f>
        <v>258</v>
      </c>
      <c r="C274" s="1">
        <f>Primarios!B264</f>
        <v>0</v>
      </c>
      <c r="D274" s="17">
        <f>Primarios!C264</f>
        <v>0</v>
      </c>
      <c r="E274" s="17">
        <f>Primarios!D264</f>
        <v>0</v>
      </c>
      <c r="F274" s="17">
        <f>Primarios!E264</f>
        <v>0</v>
      </c>
      <c r="G274" s="17">
        <f>Primarios!F264</f>
        <v>0</v>
      </c>
      <c r="H274" s="17">
        <f>Primarios!G264</f>
        <v>0</v>
      </c>
      <c r="I274" s="17">
        <f>Primarios!H264</f>
        <v>0</v>
      </c>
      <c r="J274" s="17">
        <f>Primarios!I264</f>
        <v>0</v>
      </c>
      <c r="K274" s="17">
        <f>Primarios!J264</f>
        <v>0</v>
      </c>
      <c r="L274" s="17">
        <f>Primarios!K264</f>
        <v>0</v>
      </c>
      <c r="M274" s="6"/>
      <c r="N274" s="6"/>
      <c r="O274" s="6"/>
    </row>
    <row r="275" spans="1:15" x14ac:dyDescent="0.25">
      <c r="A275" s="51">
        <v>0.89583333333332704</v>
      </c>
      <c r="B275" s="52">
        <f>Primarios!A265</f>
        <v>259</v>
      </c>
      <c r="C275" s="1">
        <f>Primarios!B265</f>
        <v>0</v>
      </c>
      <c r="D275" s="17">
        <f>Primarios!C265</f>
        <v>0</v>
      </c>
      <c r="E275" s="17">
        <f>Primarios!D265</f>
        <v>0</v>
      </c>
      <c r="F275" s="17">
        <f>Primarios!E265</f>
        <v>0</v>
      </c>
      <c r="G275" s="17">
        <f>Primarios!F265</f>
        <v>0</v>
      </c>
      <c r="H275" s="17">
        <f>Primarios!G265</f>
        <v>0</v>
      </c>
      <c r="I275" s="17">
        <f>Primarios!H265</f>
        <v>0</v>
      </c>
      <c r="J275" s="17">
        <f>Primarios!I265</f>
        <v>0</v>
      </c>
      <c r="K275" s="17">
        <f>Primarios!J265</f>
        <v>0</v>
      </c>
      <c r="L275" s="17">
        <f>Primarios!K265</f>
        <v>0</v>
      </c>
      <c r="M275" s="6"/>
      <c r="N275" s="6"/>
      <c r="O275" s="6"/>
    </row>
    <row r="276" spans="1:15" x14ac:dyDescent="0.25">
      <c r="A276" s="51">
        <v>0.89930555555554903</v>
      </c>
      <c r="B276" s="52">
        <f>Primarios!A266</f>
        <v>260</v>
      </c>
      <c r="C276" s="1">
        <f>Primarios!B266</f>
        <v>0</v>
      </c>
      <c r="D276" s="17">
        <f>Primarios!C266</f>
        <v>0</v>
      </c>
      <c r="E276" s="17">
        <f>Primarios!D266</f>
        <v>0</v>
      </c>
      <c r="F276" s="17">
        <f>Primarios!E266</f>
        <v>0</v>
      </c>
      <c r="G276" s="17">
        <f>Primarios!F266</f>
        <v>0</v>
      </c>
      <c r="H276" s="17">
        <f>Primarios!G266</f>
        <v>0</v>
      </c>
      <c r="I276" s="17">
        <f>Primarios!H266</f>
        <v>0</v>
      </c>
      <c r="J276" s="17">
        <f>Primarios!I266</f>
        <v>0</v>
      </c>
      <c r="K276" s="17">
        <f>Primarios!J266</f>
        <v>0</v>
      </c>
      <c r="L276" s="17">
        <f>Primarios!K266</f>
        <v>0</v>
      </c>
      <c r="M276" s="6"/>
      <c r="N276" s="6"/>
      <c r="O276" s="6"/>
    </row>
    <row r="277" spans="1:15" x14ac:dyDescent="0.25">
      <c r="A277" s="51">
        <v>0.90277777777777102</v>
      </c>
      <c r="B277" s="52">
        <f>Primarios!A267</f>
        <v>261</v>
      </c>
      <c r="C277" s="1">
        <f>Primarios!B267</f>
        <v>0</v>
      </c>
      <c r="D277" s="17">
        <f>Primarios!C267</f>
        <v>0</v>
      </c>
      <c r="E277" s="17">
        <f>Primarios!D267</f>
        <v>0</v>
      </c>
      <c r="F277" s="17">
        <f>Primarios!E267</f>
        <v>0</v>
      </c>
      <c r="G277" s="17">
        <f>Primarios!F267</f>
        <v>0</v>
      </c>
      <c r="H277" s="17">
        <f>Primarios!G267</f>
        <v>0</v>
      </c>
      <c r="I277" s="17">
        <f>Primarios!H267</f>
        <v>0</v>
      </c>
      <c r="J277" s="17">
        <f>Primarios!I267</f>
        <v>0</v>
      </c>
      <c r="K277" s="17">
        <f>Primarios!J267</f>
        <v>0</v>
      </c>
      <c r="L277" s="17">
        <f>Primarios!K267</f>
        <v>0</v>
      </c>
      <c r="M277" s="6"/>
      <c r="N277" s="6"/>
      <c r="O277" s="6"/>
    </row>
    <row r="278" spans="1:15" x14ac:dyDescent="0.25">
      <c r="A278" s="51">
        <v>0.90624999999999301</v>
      </c>
      <c r="B278" s="52">
        <f>Primarios!A268</f>
        <v>262</v>
      </c>
      <c r="C278" s="1">
        <f>Primarios!B268</f>
        <v>0</v>
      </c>
      <c r="D278" s="17">
        <f>Primarios!C268</f>
        <v>0</v>
      </c>
      <c r="E278" s="17">
        <f>Primarios!D268</f>
        <v>0</v>
      </c>
      <c r="F278" s="17">
        <f>Primarios!E268</f>
        <v>0</v>
      </c>
      <c r="G278" s="17">
        <f>Primarios!F268</f>
        <v>0</v>
      </c>
      <c r="H278" s="17">
        <f>Primarios!G268</f>
        <v>0</v>
      </c>
      <c r="I278" s="17">
        <f>Primarios!H268</f>
        <v>0</v>
      </c>
      <c r="J278" s="17">
        <f>Primarios!I268</f>
        <v>0</v>
      </c>
      <c r="K278" s="17">
        <f>Primarios!J268</f>
        <v>0</v>
      </c>
      <c r="L278" s="17">
        <f>Primarios!K268</f>
        <v>0</v>
      </c>
      <c r="M278" s="6"/>
      <c r="N278" s="6"/>
      <c r="O278" s="6"/>
    </row>
    <row r="279" spans="1:15" x14ac:dyDescent="0.25">
      <c r="A279" s="51">
        <v>0.90972222222221499</v>
      </c>
      <c r="B279" s="52">
        <f>Primarios!A269</f>
        <v>263</v>
      </c>
      <c r="C279" s="1">
        <f>Primarios!B269</f>
        <v>0</v>
      </c>
      <c r="D279" s="17">
        <f>Primarios!C269</f>
        <v>0</v>
      </c>
      <c r="E279" s="17">
        <f>Primarios!D269</f>
        <v>0</v>
      </c>
      <c r="F279" s="17">
        <f>Primarios!E269</f>
        <v>0</v>
      </c>
      <c r="G279" s="17">
        <f>Primarios!F269</f>
        <v>0</v>
      </c>
      <c r="H279" s="17">
        <f>Primarios!G269</f>
        <v>0</v>
      </c>
      <c r="I279" s="17">
        <f>Primarios!H269</f>
        <v>0</v>
      </c>
      <c r="J279" s="17">
        <f>Primarios!I269</f>
        <v>0</v>
      </c>
      <c r="K279" s="17">
        <f>Primarios!J269</f>
        <v>0</v>
      </c>
      <c r="L279" s="17">
        <f>Primarios!K269</f>
        <v>0</v>
      </c>
      <c r="M279" s="6"/>
      <c r="N279" s="6"/>
      <c r="O279" s="6"/>
    </row>
    <row r="280" spans="1:15" x14ac:dyDescent="0.25">
      <c r="A280" s="51">
        <v>0.91319444444443698</v>
      </c>
      <c r="B280" s="52">
        <f>Primarios!A270</f>
        <v>264</v>
      </c>
      <c r="C280" s="1">
        <f>Primarios!B270</f>
        <v>0</v>
      </c>
      <c r="D280" s="17">
        <f>Primarios!C270</f>
        <v>0</v>
      </c>
      <c r="E280" s="17">
        <f>Primarios!D270</f>
        <v>0</v>
      </c>
      <c r="F280" s="17">
        <f>Primarios!E270</f>
        <v>0</v>
      </c>
      <c r="G280" s="17">
        <f>Primarios!F270</f>
        <v>0</v>
      </c>
      <c r="H280" s="17">
        <f>Primarios!G270</f>
        <v>0</v>
      </c>
      <c r="I280" s="17">
        <f>Primarios!H270</f>
        <v>0</v>
      </c>
      <c r="J280" s="17">
        <f>Primarios!I270</f>
        <v>0</v>
      </c>
      <c r="K280" s="17">
        <f>Primarios!J270</f>
        <v>0</v>
      </c>
      <c r="L280" s="17">
        <f>Primarios!K270</f>
        <v>0</v>
      </c>
      <c r="M280" s="6"/>
      <c r="N280" s="6"/>
      <c r="O280" s="6"/>
    </row>
    <row r="281" spans="1:15" x14ac:dyDescent="0.25">
      <c r="A281" s="51">
        <v>0.91666666666665897</v>
      </c>
      <c r="B281" s="52">
        <f>Primarios!A271</f>
        <v>265</v>
      </c>
      <c r="C281" s="1">
        <f>Primarios!B271</f>
        <v>0</v>
      </c>
      <c r="D281" s="17">
        <f>Primarios!C271</f>
        <v>0</v>
      </c>
      <c r="E281" s="17">
        <f>Primarios!D271</f>
        <v>0</v>
      </c>
      <c r="F281" s="17">
        <f>Primarios!E271</f>
        <v>0</v>
      </c>
      <c r="G281" s="17">
        <f>Primarios!F271</f>
        <v>0</v>
      </c>
      <c r="H281" s="17">
        <f>Primarios!G271</f>
        <v>0</v>
      </c>
      <c r="I281" s="17">
        <f>Primarios!H271</f>
        <v>0</v>
      </c>
      <c r="J281" s="17">
        <f>Primarios!I271</f>
        <v>0</v>
      </c>
      <c r="K281" s="17">
        <f>Primarios!J271</f>
        <v>0</v>
      </c>
      <c r="L281" s="17">
        <f>Primarios!K271</f>
        <v>0</v>
      </c>
      <c r="M281" s="6"/>
      <c r="N281" s="6"/>
      <c r="O281" s="6"/>
    </row>
    <row r="282" spans="1:15" x14ac:dyDescent="0.25">
      <c r="A282" s="51">
        <v>0.92013888888888096</v>
      </c>
      <c r="B282" s="52">
        <f>Primarios!A272</f>
        <v>266</v>
      </c>
      <c r="C282" s="1">
        <f>Primarios!B272</f>
        <v>0</v>
      </c>
      <c r="D282" s="17">
        <f>Primarios!C272</f>
        <v>0</v>
      </c>
      <c r="E282" s="17">
        <f>Primarios!D272</f>
        <v>0</v>
      </c>
      <c r="F282" s="17">
        <f>Primarios!E272</f>
        <v>0</v>
      </c>
      <c r="G282" s="17">
        <f>Primarios!F272</f>
        <v>0</v>
      </c>
      <c r="H282" s="17">
        <f>Primarios!G272</f>
        <v>0</v>
      </c>
      <c r="I282" s="17">
        <f>Primarios!H272</f>
        <v>0</v>
      </c>
      <c r="J282" s="17">
        <f>Primarios!I272</f>
        <v>0</v>
      </c>
      <c r="K282" s="17">
        <f>Primarios!J272</f>
        <v>0</v>
      </c>
      <c r="L282" s="17">
        <f>Primarios!K272</f>
        <v>0</v>
      </c>
      <c r="M282" s="6"/>
      <c r="N282" s="6"/>
      <c r="O282" s="6"/>
    </row>
    <row r="283" spans="1:15" x14ac:dyDescent="0.25">
      <c r="A283" s="51">
        <v>0.92361111111110294</v>
      </c>
      <c r="B283" s="52">
        <f>Primarios!A273</f>
        <v>267</v>
      </c>
      <c r="C283" s="1">
        <f>Primarios!B273</f>
        <v>0</v>
      </c>
      <c r="D283" s="17">
        <f>Primarios!C273</f>
        <v>0</v>
      </c>
      <c r="E283" s="17">
        <f>Primarios!D273</f>
        <v>0</v>
      </c>
      <c r="F283" s="17">
        <f>Primarios!E273</f>
        <v>0</v>
      </c>
      <c r="G283" s="17">
        <f>Primarios!F273</f>
        <v>0</v>
      </c>
      <c r="H283" s="17">
        <f>Primarios!G273</f>
        <v>0</v>
      </c>
      <c r="I283" s="17">
        <f>Primarios!H273</f>
        <v>0</v>
      </c>
      <c r="J283" s="17">
        <f>Primarios!I273</f>
        <v>0</v>
      </c>
      <c r="K283" s="17">
        <f>Primarios!J273</f>
        <v>0</v>
      </c>
      <c r="L283" s="17">
        <f>Primarios!K273</f>
        <v>0</v>
      </c>
      <c r="M283" s="6"/>
      <c r="N283" s="6"/>
      <c r="O283" s="6"/>
    </row>
    <row r="284" spans="1:15" x14ac:dyDescent="0.25">
      <c r="A284" s="51">
        <v>0.92708333333332504</v>
      </c>
      <c r="B284" s="52">
        <f>Primarios!A274</f>
        <v>268</v>
      </c>
      <c r="C284" s="1">
        <f>Primarios!B274</f>
        <v>0</v>
      </c>
      <c r="D284" s="17">
        <f>Primarios!C274</f>
        <v>0</v>
      </c>
      <c r="E284" s="17">
        <f>Primarios!D274</f>
        <v>0</v>
      </c>
      <c r="F284" s="17">
        <f>Primarios!E274</f>
        <v>0</v>
      </c>
      <c r="G284" s="17">
        <f>Primarios!F274</f>
        <v>0</v>
      </c>
      <c r="H284" s="17">
        <f>Primarios!G274</f>
        <v>0</v>
      </c>
      <c r="I284" s="17">
        <f>Primarios!H274</f>
        <v>0</v>
      </c>
      <c r="J284" s="17">
        <f>Primarios!I274</f>
        <v>0</v>
      </c>
      <c r="K284" s="17">
        <f>Primarios!J274</f>
        <v>0</v>
      </c>
      <c r="L284" s="17">
        <f>Primarios!K274</f>
        <v>0</v>
      </c>
      <c r="M284" s="6"/>
      <c r="N284" s="6"/>
      <c r="O284" s="6"/>
    </row>
    <row r="285" spans="1:15" x14ac:dyDescent="0.25">
      <c r="A285" s="51">
        <v>0.93055555555554703</v>
      </c>
      <c r="B285" s="52">
        <f>Primarios!A275</f>
        <v>269</v>
      </c>
      <c r="C285" s="1">
        <f>Primarios!B275</f>
        <v>0</v>
      </c>
      <c r="D285" s="17">
        <f>Primarios!C275</f>
        <v>0</v>
      </c>
      <c r="E285" s="17">
        <f>Primarios!D275</f>
        <v>0</v>
      </c>
      <c r="F285" s="17">
        <f>Primarios!E275</f>
        <v>0</v>
      </c>
      <c r="G285" s="17">
        <f>Primarios!F275</f>
        <v>0</v>
      </c>
      <c r="H285" s="17">
        <f>Primarios!G275</f>
        <v>0</v>
      </c>
      <c r="I285" s="17">
        <f>Primarios!H275</f>
        <v>0</v>
      </c>
      <c r="J285" s="17">
        <f>Primarios!I275</f>
        <v>0</v>
      </c>
      <c r="K285" s="17">
        <f>Primarios!J275</f>
        <v>0</v>
      </c>
      <c r="L285" s="17">
        <f>Primarios!K275</f>
        <v>0</v>
      </c>
      <c r="M285" s="6"/>
      <c r="N285" s="6"/>
      <c r="O285" s="6"/>
    </row>
    <row r="286" spans="1:15" x14ac:dyDescent="0.25">
      <c r="A286" s="51">
        <v>0.93402777777776902</v>
      </c>
      <c r="B286" s="52">
        <f>Primarios!A276</f>
        <v>270</v>
      </c>
      <c r="C286" s="1">
        <f>Primarios!B276</f>
        <v>0</v>
      </c>
      <c r="D286" s="17">
        <f>Primarios!C276</f>
        <v>0</v>
      </c>
      <c r="E286" s="17">
        <f>Primarios!D276</f>
        <v>0</v>
      </c>
      <c r="F286" s="17">
        <f>Primarios!E276</f>
        <v>0</v>
      </c>
      <c r="G286" s="17">
        <f>Primarios!F276</f>
        <v>0</v>
      </c>
      <c r="H286" s="17">
        <f>Primarios!G276</f>
        <v>0</v>
      </c>
      <c r="I286" s="17">
        <f>Primarios!H276</f>
        <v>0</v>
      </c>
      <c r="J286" s="17">
        <f>Primarios!I276</f>
        <v>0</v>
      </c>
      <c r="K286" s="17">
        <f>Primarios!J276</f>
        <v>0</v>
      </c>
      <c r="L286" s="17">
        <f>Primarios!K276</f>
        <v>0</v>
      </c>
      <c r="M286" s="6"/>
      <c r="N286" s="6"/>
      <c r="O286" s="6"/>
    </row>
    <row r="287" spans="1:15" x14ac:dyDescent="0.25">
      <c r="A287" s="51">
        <v>0.93749999999999101</v>
      </c>
      <c r="B287" s="52">
        <f>Primarios!A277</f>
        <v>271</v>
      </c>
      <c r="C287" s="1">
        <f>Primarios!B277</f>
        <v>0</v>
      </c>
      <c r="D287" s="17">
        <f>Primarios!C277</f>
        <v>0</v>
      </c>
      <c r="E287" s="17">
        <f>Primarios!D277</f>
        <v>0</v>
      </c>
      <c r="F287" s="17">
        <f>Primarios!E277</f>
        <v>0</v>
      </c>
      <c r="G287" s="17">
        <f>Primarios!F277</f>
        <v>0</v>
      </c>
      <c r="H287" s="17">
        <f>Primarios!G277</f>
        <v>0</v>
      </c>
      <c r="I287" s="17">
        <f>Primarios!H277</f>
        <v>0</v>
      </c>
      <c r="J287" s="17">
        <f>Primarios!I277</f>
        <v>0</v>
      </c>
      <c r="K287" s="17">
        <f>Primarios!J277</f>
        <v>0</v>
      </c>
      <c r="L287" s="17">
        <f>Primarios!K277</f>
        <v>0</v>
      </c>
      <c r="M287" s="6"/>
      <c r="N287" s="6"/>
      <c r="O287" s="6"/>
    </row>
    <row r="288" spans="1:15" x14ac:dyDescent="0.25">
      <c r="A288" s="51">
        <v>0.940972222222213</v>
      </c>
      <c r="B288" s="52">
        <f>Primarios!A278</f>
        <v>272</v>
      </c>
      <c r="C288" s="1">
        <f>Primarios!B278</f>
        <v>0</v>
      </c>
      <c r="D288" s="17">
        <f>Primarios!C278</f>
        <v>0</v>
      </c>
      <c r="E288" s="17">
        <f>Primarios!D278</f>
        <v>0</v>
      </c>
      <c r="F288" s="17">
        <f>Primarios!E278</f>
        <v>0</v>
      </c>
      <c r="G288" s="17">
        <f>Primarios!F278</f>
        <v>0</v>
      </c>
      <c r="H288" s="17">
        <f>Primarios!G278</f>
        <v>0</v>
      </c>
      <c r="I288" s="17">
        <f>Primarios!H278</f>
        <v>0</v>
      </c>
      <c r="J288" s="17">
        <f>Primarios!I278</f>
        <v>0</v>
      </c>
      <c r="K288" s="17">
        <f>Primarios!J278</f>
        <v>0</v>
      </c>
      <c r="L288" s="17">
        <f>Primarios!K278</f>
        <v>0</v>
      </c>
      <c r="M288" s="6"/>
      <c r="N288" s="6"/>
      <c r="O288" s="6"/>
    </row>
    <row r="289" spans="1:15" x14ac:dyDescent="0.25">
      <c r="A289" s="51">
        <v>0.94444444444443498</v>
      </c>
      <c r="B289" s="52">
        <f>Primarios!A279</f>
        <v>273</v>
      </c>
      <c r="C289" s="1">
        <f>Primarios!B279</f>
        <v>0</v>
      </c>
      <c r="D289" s="17">
        <f>Primarios!C279</f>
        <v>0</v>
      </c>
      <c r="E289" s="17">
        <f>Primarios!D279</f>
        <v>0</v>
      </c>
      <c r="F289" s="17">
        <f>Primarios!E279</f>
        <v>0</v>
      </c>
      <c r="G289" s="17">
        <f>Primarios!F279</f>
        <v>0</v>
      </c>
      <c r="H289" s="17">
        <f>Primarios!G279</f>
        <v>0</v>
      </c>
      <c r="I289" s="17">
        <f>Primarios!H279</f>
        <v>0</v>
      </c>
      <c r="J289" s="17">
        <f>Primarios!I279</f>
        <v>0</v>
      </c>
      <c r="K289" s="17">
        <f>Primarios!J279</f>
        <v>0</v>
      </c>
      <c r="L289" s="17">
        <f>Primarios!K279</f>
        <v>0</v>
      </c>
      <c r="M289" s="6"/>
      <c r="N289" s="6"/>
      <c r="O289" s="6"/>
    </row>
    <row r="290" spans="1:15" x14ac:dyDescent="0.25">
      <c r="A290" s="51">
        <v>0.94791666666665697</v>
      </c>
      <c r="B290" s="52">
        <f>Primarios!A280</f>
        <v>274</v>
      </c>
      <c r="C290" s="1">
        <f>Primarios!B280</f>
        <v>0</v>
      </c>
      <c r="D290" s="17">
        <f>Primarios!C280</f>
        <v>0</v>
      </c>
      <c r="E290" s="17">
        <f>Primarios!D280</f>
        <v>0</v>
      </c>
      <c r="F290" s="17">
        <f>Primarios!E280</f>
        <v>0</v>
      </c>
      <c r="G290" s="17">
        <f>Primarios!F280</f>
        <v>0</v>
      </c>
      <c r="H290" s="17">
        <f>Primarios!G280</f>
        <v>0</v>
      </c>
      <c r="I290" s="17">
        <f>Primarios!H280</f>
        <v>0</v>
      </c>
      <c r="J290" s="17">
        <f>Primarios!I280</f>
        <v>0</v>
      </c>
      <c r="K290" s="17">
        <f>Primarios!J280</f>
        <v>0</v>
      </c>
      <c r="L290" s="17">
        <f>Primarios!K280</f>
        <v>0</v>
      </c>
      <c r="M290" s="6"/>
      <c r="N290" s="6"/>
      <c r="O290" s="6"/>
    </row>
    <row r="291" spans="1:15" x14ac:dyDescent="0.25">
      <c r="A291" s="51">
        <v>0.95138888888887896</v>
      </c>
      <c r="B291" s="52">
        <f>Primarios!A281</f>
        <v>275</v>
      </c>
      <c r="C291" s="1">
        <f>Primarios!B281</f>
        <v>0</v>
      </c>
      <c r="D291" s="17">
        <f>Primarios!C281</f>
        <v>0</v>
      </c>
      <c r="E291" s="17">
        <f>Primarios!D281</f>
        <v>0</v>
      </c>
      <c r="F291" s="17">
        <f>Primarios!E281</f>
        <v>0</v>
      </c>
      <c r="G291" s="17">
        <f>Primarios!F281</f>
        <v>0</v>
      </c>
      <c r="H291" s="17">
        <f>Primarios!G281</f>
        <v>0</v>
      </c>
      <c r="I291" s="17">
        <f>Primarios!H281</f>
        <v>0</v>
      </c>
      <c r="J291" s="17">
        <f>Primarios!I281</f>
        <v>0</v>
      </c>
      <c r="K291" s="17">
        <f>Primarios!J281</f>
        <v>0</v>
      </c>
      <c r="L291" s="17">
        <f>Primarios!K281</f>
        <v>0</v>
      </c>
      <c r="M291" s="6"/>
      <c r="N291" s="6"/>
      <c r="O291" s="6"/>
    </row>
    <row r="292" spans="1:15" x14ac:dyDescent="0.25">
      <c r="A292" s="51">
        <v>0.95486111111110095</v>
      </c>
      <c r="B292" s="52">
        <f>Primarios!A282</f>
        <v>276</v>
      </c>
      <c r="C292" s="1">
        <f>Primarios!B282</f>
        <v>0</v>
      </c>
      <c r="D292" s="17">
        <f>Primarios!C282</f>
        <v>0</v>
      </c>
      <c r="E292" s="17">
        <f>Primarios!D282</f>
        <v>0</v>
      </c>
      <c r="F292" s="17">
        <f>Primarios!E282</f>
        <v>0</v>
      </c>
      <c r="G292" s="17">
        <f>Primarios!F282</f>
        <v>0</v>
      </c>
      <c r="H292" s="17">
        <f>Primarios!G282</f>
        <v>0</v>
      </c>
      <c r="I292" s="17">
        <f>Primarios!H282</f>
        <v>0</v>
      </c>
      <c r="J292" s="17">
        <f>Primarios!I282</f>
        <v>0</v>
      </c>
      <c r="K292" s="17">
        <f>Primarios!J282</f>
        <v>0</v>
      </c>
      <c r="L292" s="17">
        <f>Primarios!K282</f>
        <v>0</v>
      </c>
      <c r="M292" s="6"/>
      <c r="N292" s="6"/>
      <c r="O292" s="6"/>
    </row>
    <row r="293" spans="1:15" x14ac:dyDescent="0.25">
      <c r="A293" s="51">
        <v>0.95833333333332305</v>
      </c>
      <c r="B293" s="52">
        <f>Primarios!A283</f>
        <v>277</v>
      </c>
      <c r="C293" s="1">
        <f>Primarios!B283</f>
        <v>0</v>
      </c>
      <c r="D293" s="17">
        <f>Primarios!C283</f>
        <v>0</v>
      </c>
      <c r="E293" s="17">
        <f>Primarios!D283</f>
        <v>0</v>
      </c>
      <c r="F293" s="17">
        <f>Primarios!E283</f>
        <v>0</v>
      </c>
      <c r="G293" s="17">
        <f>Primarios!F283</f>
        <v>0</v>
      </c>
      <c r="H293" s="17">
        <f>Primarios!G283</f>
        <v>0</v>
      </c>
      <c r="I293" s="17">
        <f>Primarios!H283</f>
        <v>0</v>
      </c>
      <c r="J293" s="17">
        <f>Primarios!I283</f>
        <v>0</v>
      </c>
      <c r="K293" s="17">
        <f>Primarios!J283</f>
        <v>0</v>
      </c>
      <c r="L293" s="17">
        <f>Primarios!K283</f>
        <v>0</v>
      </c>
      <c r="M293" s="6"/>
      <c r="N293" s="6"/>
      <c r="O293" s="6"/>
    </row>
    <row r="294" spans="1:15" x14ac:dyDescent="0.25">
      <c r="A294" s="51">
        <v>0.96180555555554503</v>
      </c>
      <c r="B294" s="52">
        <f>Primarios!A284</f>
        <v>278</v>
      </c>
      <c r="C294" s="1">
        <f>Primarios!B284</f>
        <v>0</v>
      </c>
      <c r="D294" s="17">
        <f>Primarios!C284</f>
        <v>0</v>
      </c>
      <c r="E294" s="17">
        <f>Primarios!D284</f>
        <v>0</v>
      </c>
      <c r="F294" s="17">
        <f>Primarios!E284</f>
        <v>0</v>
      </c>
      <c r="G294" s="17">
        <f>Primarios!F284</f>
        <v>0</v>
      </c>
      <c r="H294" s="17">
        <f>Primarios!G284</f>
        <v>0</v>
      </c>
      <c r="I294" s="17">
        <f>Primarios!H284</f>
        <v>0</v>
      </c>
      <c r="J294" s="17">
        <f>Primarios!I284</f>
        <v>0</v>
      </c>
      <c r="K294" s="17">
        <f>Primarios!J284</f>
        <v>0</v>
      </c>
      <c r="L294" s="17">
        <f>Primarios!K284</f>
        <v>0</v>
      </c>
      <c r="M294" s="6"/>
      <c r="N294" s="6"/>
      <c r="O294" s="6"/>
    </row>
    <row r="295" spans="1:15" x14ac:dyDescent="0.25">
      <c r="A295" s="51">
        <v>0.96527777777776702</v>
      </c>
      <c r="B295" s="52">
        <f>Primarios!A285</f>
        <v>279</v>
      </c>
      <c r="C295" s="1">
        <f>Primarios!B285</f>
        <v>0</v>
      </c>
      <c r="D295" s="17">
        <f>Primarios!C285</f>
        <v>0</v>
      </c>
      <c r="E295" s="17">
        <f>Primarios!D285</f>
        <v>0</v>
      </c>
      <c r="F295" s="17">
        <f>Primarios!E285</f>
        <v>0</v>
      </c>
      <c r="G295" s="17">
        <f>Primarios!F285</f>
        <v>0</v>
      </c>
      <c r="H295" s="17">
        <f>Primarios!G285</f>
        <v>0</v>
      </c>
      <c r="I295" s="17">
        <f>Primarios!H285</f>
        <v>0</v>
      </c>
      <c r="J295" s="17">
        <f>Primarios!I285</f>
        <v>0</v>
      </c>
      <c r="K295" s="17">
        <f>Primarios!J285</f>
        <v>0</v>
      </c>
      <c r="L295" s="17">
        <f>Primarios!K285</f>
        <v>0</v>
      </c>
      <c r="M295" s="6"/>
      <c r="N295" s="6"/>
      <c r="O295" s="6"/>
    </row>
    <row r="296" spans="1:15" x14ac:dyDescent="0.25">
      <c r="A296" s="51">
        <v>0.96874999999998901</v>
      </c>
      <c r="B296" s="52">
        <f>Primarios!A286</f>
        <v>280</v>
      </c>
      <c r="C296" s="1">
        <f>Primarios!B286</f>
        <v>0</v>
      </c>
      <c r="D296" s="17">
        <f>Primarios!C286</f>
        <v>0</v>
      </c>
      <c r="E296" s="17">
        <f>Primarios!D286</f>
        <v>0</v>
      </c>
      <c r="F296" s="17">
        <f>Primarios!E286</f>
        <v>0</v>
      </c>
      <c r="G296" s="17">
        <f>Primarios!F286</f>
        <v>0</v>
      </c>
      <c r="H296" s="17">
        <f>Primarios!G286</f>
        <v>0</v>
      </c>
      <c r="I296" s="17">
        <f>Primarios!H286</f>
        <v>0</v>
      </c>
      <c r="J296" s="17">
        <f>Primarios!I286</f>
        <v>0</v>
      </c>
      <c r="K296" s="17">
        <f>Primarios!J286</f>
        <v>0</v>
      </c>
      <c r="L296" s="17">
        <f>Primarios!K286</f>
        <v>0</v>
      </c>
      <c r="M296" s="6"/>
      <c r="N296" s="6"/>
      <c r="O296" s="6"/>
    </row>
    <row r="297" spans="1:15" x14ac:dyDescent="0.25">
      <c r="A297" s="51">
        <v>0.972222222222211</v>
      </c>
      <c r="B297" s="52">
        <f>Primarios!A287</f>
        <v>281</v>
      </c>
      <c r="C297" s="1">
        <f>Primarios!B287</f>
        <v>0</v>
      </c>
      <c r="D297" s="17">
        <f>Primarios!C287</f>
        <v>0</v>
      </c>
      <c r="E297" s="17">
        <f>Primarios!D287</f>
        <v>0</v>
      </c>
      <c r="F297" s="17">
        <f>Primarios!E287</f>
        <v>0</v>
      </c>
      <c r="G297" s="17">
        <f>Primarios!F287</f>
        <v>0</v>
      </c>
      <c r="H297" s="17">
        <f>Primarios!G287</f>
        <v>0</v>
      </c>
      <c r="I297" s="17">
        <f>Primarios!H287</f>
        <v>0</v>
      </c>
      <c r="J297" s="17">
        <f>Primarios!I287</f>
        <v>0</v>
      </c>
      <c r="K297" s="17">
        <f>Primarios!J287</f>
        <v>0</v>
      </c>
      <c r="L297" s="17">
        <f>Primarios!K287</f>
        <v>0</v>
      </c>
      <c r="M297" s="6"/>
      <c r="N297" s="6"/>
      <c r="O297" s="6"/>
    </row>
    <row r="298" spans="1:15" x14ac:dyDescent="0.25">
      <c r="A298" s="51">
        <v>0.97569444444443298</v>
      </c>
      <c r="B298" s="52">
        <f>Primarios!A288</f>
        <v>282</v>
      </c>
      <c r="C298" s="1">
        <f>Primarios!B288</f>
        <v>0</v>
      </c>
      <c r="D298" s="17">
        <f>Primarios!C288</f>
        <v>0</v>
      </c>
      <c r="E298" s="17">
        <f>Primarios!D288</f>
        <v>0</v>
      </c>
      <c r="F298" s="17">
        <f>Primarios!E288</f>
        <v>0</v>
      </c>
      <c r="G298" s="17">
        <f>Primarios!F288</f>
        <v>0</v>
      </c>
      <c r="H298" s="17">
        <f>Primarios!G288</f>
        <v>0</v>
      </c>
      <c r="I298" s="17">
        <f>Primarios!H288</f>
        <v>0</v>
      </c>
      <c r="J298" s="17">
        <f>Primarios!I288</f>
        <v>0</v>
      </c>
      <c r="K298" s="17">
        <f>Primarios!J288</f>
        <v>0</v>
      </c>
      <c r="L298" s="17">
        <f>Primarios!K288</f>
        <v>0</v>
      </c>
      <c r="M298" s="6"/>
      <c r="N298" s="6"/>
      <c r="O298" s="6"/>
    </row>
    <row r="299" spans="1:15" x14ac:dyDescent="0.25">
      <c r="A299" s="51">
        <v>0.97916666666665497</v>
      </c>
      <c r="B299" s="52">
        <f>Primarios!A289</f>
        <v>283</v>
      </c>
      <c r="C299" s="1">
        <f>Primarios!B289</f>
        <v>0</v>
      </c>
      <c r="D299" s="17">
        <f>Primarios!C289</f>
        <v>0</v>
      </c>
      <c r="E299" s="17">
        <f>Primarios!D289</f>
        <v>0</v>
      </c>
      <c r="F299" s="17">
        <f>Primarios!E289</f>
        <v>0</v>
      </c>
      <c r="G299" s="17">
        <f>Primarios!F289</f>
        <v>0</v>
      </c>
      <c r="H299" s="17">
        <f>Primarios!G289</f>
        <v>0</v>
      </c>
      <c r="I299" s="17">
        <f>Primarios!H289</f>
        <v>0</v>
      </c>
      <c r="J299" s="17">
        <f>Primarios!I289</f>
        <v>0</v>
      </c>
      <c r="K299" s="17">
        <f>Primarios!J289</f>
        <v>0</v>
      </c>
      <c r="L299" s="17">
        <f>Primarios!K289</f>
        <v>0</v>
      </c>
      <c r="M299" s="6"/>
      <c r="N299" s="6"/>
      <c r="O299" s="6"/>
    </row>
    <row r="300" spans="1:15" x14ac:dyDescent="0.25">
      <c r="A300" s="51">
        <v>0.98263888888887696</v>
      </c>
      <c r="B300" s="52">
        <f>Primarios!A290</f>
        <v>284</v>
      </c>
      <c r="C300" s="1">
        <f>Primarios!B290</f>
        <v>0</v>
      </c>
      <c r="D300" s="17">
        <f>Primarios!C290</f>
        <v>0</v>
      </c>
      <c r="E300" s="17">
        <f>Primarios!D290</f>
        <v>0</v>
      </c>
      <c r="F300" s="17">
        <f>Primarios!E290</f>
        <v>0</v>
      </c>
      <c r="G300" s="17">
        <f>Primarios!F290</f>
        <v>0</v>
      </c>
      <c r="H300" s="17">
        <f>Primarios!G290</f>
        <v>0</v>
      </c>
      <c r="I300" s="17">
        <f>Primarios!H290</f>
        <v>0</v>
      </c>
      <c r="J300" s="17">
        <f>Primarios!I290</f>
        <v>0</v>
      </c>
      <c r="K300" s="17">
        <f>Primarios!J290</f>
        <v>0</v>
      </c>
      <c r="L300" s="17">
        <f>Primarios!K290</f>
        <v>0</v>
      </c>
      <c r="M300" s="6"/>
      <c r="N300" s="6"/>
      <c r="O300" s="6"/>
    </row>
    <row r="301" spans="1:15" x14ac:dyDescent="0.25">
      <c r="A301" s="51">
        <v>0.98611111111109895</v>
      </c>
      <c r="B301" s="52">
        <f>Primarios!A291</f>
        <v>285</v>
      </c>
      <c r="C301" s="1">
        <f>Primarios!B291</f>
        <v>0</v>
      </c>
      <c r="D301" s="17">
        <f>Primarios!C291</f>
        <v>0</v>
      </c>
      <c r="E301" s="17">
        <f>Primarios!D291</f>
        <v>0</v>
      </c>
      <c r="F301" s="17">
        <f>Primarios!E291</f>
        <v>0</v>
      </c>
      <c r="G301" s="17">
        <f>Primarios!F291</f>
        <v>0</v>
      </c>
      <c r="H301" s="17">
        <f>Primarios!G291</f>
        <v>0</v>
      </c>
      <c r="I301" s="17">
        <f>Primarios!H291</f>
        <v>0</v>
      </c>
      <c r="J301" s="17">
        <f>Primarios!I291</f>
        <v>0</v>
      </c>
      <c r="K301" s="17">
        <f>Primarios!J291</f>
        <v>0</v>
      </c>
      <c r="L301" s="17">
        <f>Primarios!K291</f>
        <v>0</v>
      </c>
      <c r="M301" s="6"/>
      <c r="N301" s="6"/>
      <c r="O301" s="6"/>
    </row>
    <row r="302" spans="1:15" x14ac:dyDescent="0.25">
      <c r="A302" s="51">
        <v>0.98958333333332105</v>
      </c>
      <c r="B302" s="52">
        <f>Primarios!A292</f>
        <v>286</v>
      </c>
      <c r="C302" s="1">
        <f>Primarios!B292</f>
        <v>0</v>
      </c>
      <c r="D302" s="17">
        <f>Primarios!C292</f>
        <v>0</v>
      </c>
      <c r="E302" s="17">
        <f>Primarios!D292</f>
        <v>0</v>
      </c>
      <c r="F302" s="17">
        <f>Primarios!E292</f>
        <v>0</v>
      </c>
      <c r="G302" s="17">
        <f>Primarios!F292</f>
        <v>0</v>
      </c>
      <c r="H302" s="17">
        <f>Primarios!G292</f>
        <v>0</v>
      </c>
      <c r="I302" s="17">
        <f>Primarios!H292</f>
        <v>0</v>
      </c>
      <c r="J302" s="17">
        <f>Primarios!I292</f>
        <v>0</v>
      </c>
      <c r="K302" s="17">
        <f>Primarios!J292</f>
        <v>0</v>
      </c>
      <c r="L302" s="17">
        <f>Primarios!K292</f>
        <v>0</v>
      </c>
      <c r="M302" s="6"/>
      <c r="N302" s="6"/>
      <c r="O302" s="6"/>
    </row>
    <row r="303" spans="1:15" x14ac:dyDescent="0.25">
      <c r="A303" s="51">
        <v>0.99305555555554303</v>
      </c>
      <c r="B303" s="52">
        <f>Primarios!A293</f>
        <v>287</v>
      </c>
      <c r="C303" s="1">
        <f>Primarios!B293</f>
        <v>0</v>
      </c>
      <c r="D303" s="17">
        <f>Primarios!C293</f>
        <v>0</v>
      </c>
      <c r="E303" s="17">
        <f>Primarios!D293</f>
        <v>0</v>
      </c>
      <c r="F303" s="17">
        <f>Primarios!E293</f>
        <v>0</v>
      </c>
      <c r="G303" s="17">
        <f>Primarios!F293</f>
        <v>0</v>
      </c>
      <c r="H303" s="17">
        <f>Primarios!G293</f>
        <v>0</v>
      </c>
      <c r="I303" s="17">
        <f>Primarios!H293</f>
        <v>0</v>
      </c>
      <c r="J303" s="17">
        <f>Primarios!I293</f>
        <v>0</v>
      </c>
      <c r="K303" s="17">
        <f>Primarios!J293</f>
        <v>0</v>
      </c>
      <c r="L303" s="17">
        <f>Primarios!K293</f>
        <v>0</v>
      </c>
      <c r="M303" s="6"/>
      <c r="N303" s="6"/>
      <c r="O303" s="6"/>
    </row>
    <row r="304" spans="1:15" x14ac:dyDescent="0.25">
      <c r="A304" s="51">
        <v>0.99652777777776502</v>
      </c>
      <c r="B304" s="52">
        <f>Primarios!A294</f>
        <v>288</v>
      </c>
      <c r="C304" s="1">
        <f>Primarios!B294</f>
        <v>0</v>
      </c>
      <c r="D304" s="17">
        <f>Primarios!C294</f>
        <v>0</v>
      </c>
      <c r="E304" s="17">
        <f>Primarios!D294</f>
        <v>0</v>
      </c>
      <c r="F304" s="17">
        <f>Primarios!E294</f>
        <v>0</v>
      </c>
      <c r="G304" s="17">
        <f>Primarios!F294</f>
        <v>0</v>
      </c>
      <c r="H304" s="17">
        <f>Primarios!G294</f>
        <v>0</v>
      </c>
      <c r="I304" s="17">
        <f>Primarios!H294</f>
        <v>0</v>
      </c>
      <c r="J304" s="17">
        <f>Primarios!I294</f>
        <v>0</v>
      </c>
      <c r="K304" s="17">
        <f>Primarios!J294</f>
        <v>0</v>
      </c>
      <c r="L304" s="17">
        <f>Primarios!K294</f>
        <v>0</v>
      </c>
      <c r="M304" s="6"/>
      <c r="N304" s="6"/>
      <c r="O304" s="6"/>
    </row>
    <row r="305" spans="1:15" ht="13.8" thickBot="1" x14ac:dyDescent="0.3">
      <c r="A305" s="51">
        <v>0.99999999999998701</v>
      </c>
      <c r="B305" s="52">
        <f>Primarios!A295</f>
        <v>289</v>
      </c>
      <c r="C305" s="1">
        <f>Primarios!B295</f>
        <v>0</v>
      </c>
      <c r="D305" s="17">
        <f>Primarios!C295</f>
        <v>0</v>
      </c>
      <c r="E305" s="17">
        <f>Primarios!D295</f>
        <v>0</v>
      </c>
      <c r="F305" s="17">
        <f>Primarios!E295</f>
        <v>0</v>
      </c>
      <c r="G305" s="17">
        <f>Primarios!F295</f>
        <v>0</v>
      </c>
      <c r="H305" s="17">
        <f>Primarios!G295</f>
        <v>0</v>
      </c>
      <c r="I305" s="17">
        <f>Primarios!H295</f>
        <v>0</v>
      </c>
      <c r="J305" s="17">
        <f>Primarios!I295</f>
        <v>0</v>
      </c>
      <c r="K305" s="17">
        <f>Primarios!J295</f>
        <v>0</v>
      </c>
      <c r="L305" s="17">
        <f>Primarios!K295</f>
        <v>0</v>
      </c>
      <c r="M305" s="6"/>
      <c r="N305" s="6"/>
      <c r="O305" s="6"/>
    </row>
    <row r="306" spans="1:15" x14ac:dyDescent="0.25">
      <c r="A306" s="6"/>
      <c r="B306" s="170" t="s">
        <v>39</v>
      </c>
      <c r="C306" s="171"/>
      <c r="D306" s="54">
        <f t="shared" ref="D306:L306" si="0">MAX(D17:D305)</f>
        <v>0</v>
      </c>
      <c r="E306" s="54">
        <f t="shared" si="0"/>
        <v>0</v>
      </c>
      <c r="F306" s="54">
        <f t="shared" si="0"/>
        <v>0</v>
      </c>
      <c r="G306" s="54">
        <f t="shared" si="0"/>
        <v>0</v>
      </c>
      <c r="H306" s="54">
        <f t="shared" si="0"/>
        <v>0</v>
      </c>
      <c r="I306" s="54">
        <f t="shared" si="0"/>
        <v>0</v>
      </c>
      <c r="J306" s="54">
        <f t="shared" si="0"/>
        <v>0</v>
      </c>
      <c r="K306" s="54">
        <f t="shared" si="0"/>
        <v>0</v>
      </c>
      <c r="L306" s="54">
        <f t="shared" si="0"/>
        <v>0</v>
      </c>
      <c r="M306" s="6"/>
      <c r="N306" s="6"/>
      <c r="O306" s="6"/>
    </row>
    <row r="307" spans="1:15" x14ac:dyDescent="0.25">
      <c r="A307" s="6"/>
      <c r="B307" s="172" t="s">
        <v>4</v>
      </c>
      <c r="C307" s="173"/>
      <c r="D307" s="55">
        <f t="shared" ref="D307:L307" si="1">MIN(D17:D305)</f>
        <v>0</v>
      </c>
      <c r="E307" s="55">
        <f t="shared" si="1"/>
        <v>0</v>
      </c>
      <c r="F307" s="55">
        <f t="shared" si="1"/>
        <v>0</v>
      </c>
      <c r="G307" s="55">
        <f t="shared" si="1"/>
        <v>0</v>
      </c>
      <c r="H307" s="55">
        <f t="shared" si="1"/>
        <v>0</v>
      </c>
      <c r="I307" s="55">
        <f t="shared" si="1"/>
        <v>0</v>
      </c>
      <c r="J307" s="55">
        <f t="shared" si="1"/>
        <v>0</v>
      </c>
      <c r="K307" s="55">
        <f t="shared" si="1"/>
        <v>0</v>
      </c>
      <c r="L307" s="55">
        <f t="shared" si="1"/>
        <v>0</v>
      </c>
      <c r="M307" s="6"/>
      <c r="N307" s="6"/>
      <c r="O307" s="6"/>
    </row>
    <row r="308" spans="1:15" ht="13.8" thickBot="1" x14ac:dyDescent="0.3">
      <c r="A308" s="6"/>
      <c r="B308" s="184" t="s">
        <v>5</v>
      </c>
      <c r="C308" s="185"/>
      <c r="D308" s="56">
        <f t="shared" ref="D308:L308" si="2">ROUND(AVERAGE(D17:D305),2)</f>
        <v>0</v>
      </c>
      <c r="E308" s="56">
        <f t="shared" si="2"/>
        <v>0</v>
      </c>
      <c r="F308" s="56">
        <f t="shared" si="2"/>
        <v>0</v>
      </c>
      <c r="G308" s="56">
        <f t="shared" si="2"/>
        <v>0</v>
      </c>
      <c r="H308" s="56">
        <f t="shared" si="2"/>
        <v>0</v>
      </c>
      <c r="I308" s="56">
        <f t="shared" si="2"/>
        <v>0</v>
      </c>
      <c r="J308" s="56">
        <f t="shared" si="2"/>
        <v>0</v>
      </c>
      <c r="K308" s="56">
        <f t="shared" si="2"/>
        <v>0</v>
      </c>
      <c r="L308" s="56">
        <f t="shared" si="2"/>
        <v>0</v>
      </c>
      <c r="M308" s="6"/>
      <c r="N308" s="6"/>
      <c r="O308" s="6"/>
    </row>
    <row r="309" spans="1:15" x14ac:dyDescent="0.25">
      <c r="A309" s="6"/>
      <c r="B309" s="180" t="s">
        <v>17</v>
      </c>
      <c r="C309" s="181"/>
      <c r="D309" s="57">
        <f t="shared" ref="D309:I309" si="3">$D$311-D308</f>
        <v>0</v>
      </c>
      <c r="E309" s="57">
        <f t="shared" si="3"/>
        <v>0</v>
      </c>
      <c r="F309" s="57">
        <f t="shared" si="3"/>
        <v>0</v>
      </c>
      <c r="G309" s="57">
        <f t="shared" si="3"/>
        <v>0</v>
      </c>
      <c r="H309" s="57">
        <f t="shared" si="3"/>
        <v>0</v>
      </c>
      <c r="I309" s="57">
        <f t="shared" si="3"/>
        <v>0</v>
      </c>
      <c r="J309" s="57">
        <f>$D$311-J308</f>
        <v>0</v>
      </c>
      <c r="K309" s="57">
        <f>$D$311-K308</f>
        <v>0</v>
      </c>
      <c r="L309" s="57">
        <f>$D$311-L308</f>
        <v>0</v>
      </c>
      <c r="M309" s="6"/>
      <c r="N309" s="6"/>
      <c r="O309" s="6"/>
    </row>
    <row r="310" spans="1:15" ht="13.8" thickBot="1" x14ac:dyDescent="0.3">
      <c r="A310" s="6"/>
      <c r="B310" s="21"/>
      <c r="C310" s="58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</row>
    <row r="311" spans="1:15" ht="13.8" thickBot="1" x14ac:dyDescent="0.3">
      <c r="A311" s="6"/>
      <c r="B311" s="168" t="s">
        <v>5</v>
      </c>
      <c r="C311" s="169"/>
      <c r="D311" s="59">
        <f>ROUND(AVERAGE(D308:L308),2)</f>
        <v>0</v>
      </c>
      <c r="E311" s="60"/>
      <c r="F311" s="60"/>
      <c r="G311" s="6"/>
      <c r="H311" s="6"/>
      <c r="I311" s="6"/>
      <c r="J311" s="6"/>
      <c r="K311" s="6"/>
      <c r="L311" s="6"/>
      <c r="M311" s="6"/>
      <c r="N311" s="6"/>
      <c r="O311" s="6"/>
    </row>
    <row r="312" spans="1:15" ht="13.8" thickBot="1" x14ac:dyDescent="0.3">
      <c r="A312" s="6"/>
      <c r="B312" s="168" t="s">
        <v>27</v>
      </c>
      <c r="C312" s="169"/>
      <c r="D312" s="59">
        <f>MIN(D307:L307)</f>
        <v>0</v>
      </c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</row>
    <row r="313" spans="1:15" ht="13.8" thickBot="1" x14ac:dyDescent="0.3">
      <c r="A313" s="6"/>
      <c r="B313" s="168" t="s">
        <v>28</v>
      </c>
      <c r="C313" s="169"/>
      <c r="D313" s="61">
        <f>MAX(D306:L306)</f>
        <v>0</v>
      </c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</row>
    <row r="314" spans="1:15" x14ac:dyDescent="0.25">
      <c r="A314" s="6"/>
      <c r="B314" s="21"/>
      <c r="C314" s="58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</row>
    <row r="315" spans="1:15" x14ac:dyDescent="0.25">
      <c r="A315" s="6"/>
      <c r="B315" s="21"/>
      <c r="C315" s="58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</row>
    <row r="316" spans="1:15" x14ac:dyDescent="0.25">
      <c r="A316" s="6"/>
      <c r="B316" s="44" t="s">
        <v>26</v>
      </c>
      <c r="C316" s="58"/>
      <c r="D316" s="62"/>
      <c r="E316" s="62"/>
      <c r="F316" s="62"/>
      <c r="G316" s="6"/>
      <c r="H316" s="6"/>
      <c r="I316" s="6"/>
      <c r="J316" s="6"/>
      <c r="K316" s="6"/>
      <c r="L316" s="6"/>
      <c r="M316" s="6"/>
      <c r="N316" s="6"/>
      <c r="O316" s="6"/>
    </row>
    <row r="317" spans="1:15" x14ac:dyDescent="0.25">
      <c r="A317" s="6"/>
      <c r="B317" s="21"/>
      <c r="C317" s="58"/>
      <c r="D317" s="62"/>
      <c r="E317" s="62"/>
      <c r="F317" s="62"/>
      <c r="G317" s="6"/>
      <c r="H317" s="6"/>
      <c r="I317" s="6"/>
      <c r="J317" s="6"/>
      <c r="K317" s="6"/>
      <c r="L317" s="6"/>
      <c r="M317" s="6"/>
      <c r="N317" s="6"/>
      <c r="O317" s="6"/>
    </row>
    <row r="318" spans="1:15" ht="21.75" customHeight="1" x14ac:dyDescent="0.25">
      <c r="A318" s="6"/>
      <c r="B318" s="174" t="s">
        <v>19</v>
      </c>
      <c r="C318" s="186" t="s">
        <v>18</v>
      </c>
      <c r="D318" s="187"/>
      <c r="E318" s="188"/>
      <c r="F318" s="162" t="s">
        <v>22</v>
      </c>
      <c r="G318" s="163"/>
      <c r="H318" s="63"/>
      <c r="I318" s="63"/>
      <c r="J318" s="6"/>
      <c r="K318" s="6"/>
      <c r="L318" s="6"/>
      <c r="M318" s="6"/>
      <c r="N318" s="6"/>
      <c r="O318" s="6"/>
    </row>
    <row r="319" spans="1:15" x14ac:dyDescent="0.25">
      <c r="A319" s="6"/>
      <c r="B319" s="175"/>
      <c r="C319" s="176" t="s">
        <v>16</v>
      </c>
      <c r="D319" s="178" t="s">
        <v>20</v>
      </c>
      <c r="E319" s="178" t="s">
        <v>21</v>
      </c>
      <c r="F319" s="164"/>
      <c r="G319" s="165"/>
      <c r="H319" s="63"/>
      <c r="I319" s="63"/>
      <c r="J319" s="6"/>
      <c r="K319" s="6"/>
      <c r="L319" s="6"/>
      <c r="M319" s="6"/>
      <c r="N319" s="6"/>
      <c r="O319" s="6"/>
    </row>
    <row r="320" spans="1:15" x14ac:dyDescent="0.25">
      <c r="A320" s="6"/>
      <c r="B320" s="64" t="s">
        <v>23</v>
      </c>
      <c r="C320" s="177"/>
      <c r="D320" s="179"/>
      <c r="E320" s="179"/>
      <c r="F320" s="65" t="s">
        <v>24</v>
      </c>
      <c r="G320" s="65" t="s">
        <v>25</v>
      </c>
      <c r="H320" s="66"/>
      <c r="I320" s="66"/>
      <c r="J320" s="6"/>
      <c r="K320" s="6"/>
      <c r="L320" s="6"/>
      <c r="M320" s="6"/>
      <c r="N320" s="6"/>
      <c r="O320" s="6"/>
    </row>
    <row r="321" spans="1:15" x14ac:dyDescent="0.25">
      <c r="A321" s="6"/>
      <c r="B321" s="67">
        <f>COUNT(D308:L308)</f>
        <v>9</v>
      </c>
      <c r="C321" s="68">
        <f>STDEV(D308:L308)</f>
        <v>0</v>
      </c>
      <c r="D321" s="69" t="e">
        <f>CONFIDENCE(0.05,C321,B321)</f>
        <v>#NUM!</v>
      </c>
      <c r="E321" s="70">
        <f>ROUND(AVERAGE(D308:L308),2)</f>
        <v>0</v>
      </c>
      <c r="F321" s="67" t="e">
        <f>E321-D321</f>
        <v>#NUM!</v>
      </c>
      <c r="G321" s="67" t="e">
        <f>E321+D321</f>
        <v>#NUM!</v>
      </c>
      <c r="H321" s="63"/>
      <c r="I321" s="63"/>
      <c r="J321" s="6"/>
      <c r="K321" s="6"/>
      <c r="L321" s="6"/>
      <c r="M321" s="6"/>
      <c r="N321" s="6"/>
      <c r="O321" s="6"/>
    </row>
    <row r="322" spans="1:15" x14ac:dyDescent="0.25">
      <c r="A322" s="6"/>
      <c r="B322" s="21"/>
      <c r="C322" s="58"/>
      <c r="D322" s="62"/>
      <c r="E322" s="62"/>
      <c r="F322" s="62"/>
      <c r="G322" s="6"/>
      <c r="H322" s="6"/>
      <c r="I322" s="6"/>
      <c r="J322" s="6"/>
      <c r="K322" s="6"/>
      <c r="L322" s="6"/>
      <c r="M322" s="6"/>
      <c r="N322" s="6"/>
      <c r="O322" s="6"/>
    </row>
    <row r="323" spans="1:15" x14ac:dyDescent="0.25">
      <c r="A323" s="6"/>
      <c r="B323" s="21"/>
      <c r="C323" s="58"/>
      <c r="D323" s="62"/>
      <c r="E323" s="62"/>
      <c r="F323" s="62"/>
      <c r="G323" s="6"/>
      <c r="H323" s="6"/>
      <c r="I323" s="6"/>
      <c r="J323" s="6"/>
      <c r="K323" s="6"/>
      <c r="L323" s="6"/>
      <c r="M323" s="6"/>
      <c r="N323" s="6"/>
      <c r="O323" s="6"/>
    </row>
    <row r="324" spans="1:15" x14ac:dyDescent="0.25">
      <c r="A324" s="6"/>
      <c r="B324" s="21"/>
      <c r="C324" s="58"/>
      <c r="D324" s="62"/>
      <c r="E324" s="62"/>
      <c r="F324" s="62"/>
      <c r="G324" s="6"/>
      <c r="H324" s="6"/>
      <c r="I324" s="6"/>
      <c r="J324" s="6"/>
      <c r="K324" s="6"/>
      <c r="L324" s="6"/>
      <c r="M324" s="6"/>
      <c r="N324" s="6"/>
      <c r="O324" s="6"/>
    </row>
    <row r="325" spans="1:15" x14ac:dyDescent="0.25">
      <c r="A325" s="6"/>
      <c r="B325" s="21"/>
      <c r="C325" s="58"/>
      <c r="D325" s="62"/>
      <c r="E325" s="62"/>
      <c r="F325" s="62"/>
      <c r="G325" s="6"/>
      <c r="H325" s="6"/>
      <c r="I325" s="6"/>
      <c r="J325" s="6"/>
      <c r="K325" s="6"/>
      <c r="L325" s="6"/>
      <c r="M325" s="6"/>
      <c r="N325" s="6"/>
      <c r="O325" s="6"/>
    </row>
    <row r="326" spans="1:15" x14ac:dyDescent="0.25">
      <c r="A326" s="6"/>
      <c r="B326" s="21"/>
      <c r="C326" s="58"/>
      <c r="D326" s="62"/>
      <c r="E326" s="62"/>
      <c r="F326" s="62"/>
      <c r="G326" s="6"/>
      <c r="H326" s="6"/>
      <c r="I326" s="6"/>
      <c r="J326" s="6"/>
      <c r="K326" s="6"/>
      <c r="L326" s="6"/>
      <c r="M326" s="6"/>
      <c r="N326" s="6"/>
      <c r="O326" s="6"/>
    </row>
    <row r="327" spans="1:15" x14ac:dyDescent="0.25">
      <c r="A327" s="6"/>
      <c r="B327" s="21"/>
      <c r="C327" s="58"/>
      <c r="D327" s="62"/>
      <c r="E327" s="62"/>
      <c r="F327" s="62"/>
      <c r="G327" s="6"/>
      <c r="H327" s="6"/>
      <c r="I327" s="6"/>
      <c r="J327" s="6"/>
      <c r="K327" s="6"/>
      <c r="L327" s="6"/>
      <c r="M327" s="6"/>
      <c r="N327" s="6"/>
      <c r="O327" s="6"/>
    </row>
    <row r="328" spans="1:15" x14ac:dyDescent="0.25">
      <c r="A328" s="6"/>
      <c r="B328" s="21"/>
      <c r="C328" s="58"/>
      <c r="D328" s="62"/>
      <c r="E328" s="62"/>
      <c r="F328" s="62"/>
      <c r="G328" s="6"/>
      <c r="H328" s="6"/>
      <c r="I328" s="6"/>
      <c r="J328" s="6"/>
      <c r="K328" s="6"/>
      <c r="L328" s="6"/>
      <c r="M328" s="6"/>
      <c r="N328" s="6"/>
      <c r="O328" s="6"/>
    </row>
    <row r="329" spans="1:15" x14ac:dyDescent="0.25">
      <c r="A329" s="6"/>
      <c r="B329" s="21"/>
      <c r="C329" s="58"/>
      <c r="D329" s="62"/>
      <c r="E329" s="62"/>
      <c r="F329" s="62"/>
      <c r="G329" s="6"/>
      <c r="H329" s="6"/>
      <c r="I329" s="6"/>
      <c r="J329" s="6"/>
      <c r="K329" s="6"/>
      <c r="L329" s="6"/>
      <c r="M329" s="6"/>
      <c r="N329" s="6"/>
      <c r="O329" s="6"/>
    </row>
    <row r="330" spans="1:15" x14ac:dyDescent="0.25">
      <c r="A330" s="6"/>
      <c r="B330" s="21"/>
      <c r="C330" s="58"/>
      <c r="D330" s="62"/>
      <c r="E330" s="62"/>
      <c r="F330" s="62"/>
      <c r="G330" s="6"/>
      <c r="H330" s="6"/>
      <c r="I330" s="6"/>
      <c r="J330" s="6"/>
      <c r="K330" s="6"/>
      <c r="L330" s="6"/>
      <c r="M330" s="6"/>
      <c r="N330" s="6"/>
      <c r="O330" s="6"/>
    </row>
    <row r="331" spans="1:15" x14ac:dyDescent="0.25">
      <c r="A331" s="6"/>
      <c r="B331" s="21"/>
      <c r="C331" s="58"/>
      <c r="D331" s="62"/>
      <c r="E331" s="62"/>
      <c r="F331" s="62"/>
      <c r="G331" s="6"/>
      <c r="H331" s="6"/>
      <c r="I331" s="6"/>
      <c r="J331" s="6"/>
      <c r="K331" s="6"/>
      <c r="L331" s="6"/>
      <c r="M331" s="6"/>
      <c r="N331" s="6"/>
      <c r="O331" s="6"/>
    </row>
    <row r="332" spans="1:15" x14ac:dyDescent="0.25">
      <c r="A332" s="6"/>
      <c r="B332" s="21"/>
      <c r="C332" s="58"/>
      <c r="D332" s="62"/>
      <c r="E332" s="62"/>
      <c r="F332" s="62"/>
      <c r="G332" s="6"/>
      <c r="H332" s="6"/>
      <c r="I332" s="6"/>
      <c r="J332" s="6"/>
      <c r="K332" s="6"/>
      <c r="L332" s="6"/>
      <c r="M332" s="6"/>
      <c r="N332" s="6"/>
      <c r="O332" s="6"/>
    </row>
    <row r="333" spans="1:15" x14ac:dyDescent="0.25">
      <c r="A333" s="6"/>
      <c r="B333" s="21"/>
      <c r="C333" s="58"/>
      <c r="D333" s="62"/>
      <c r="E333" s="62"/>
      <c r="F333" s="62"/>
      <c r="G333" s="6"/>
      <c r="H333" s="6"/>
      <c r="I333" s="6"/>
      <c r="J333" s="6"/>
      <c r="K333" s="6"/>
      <c r="L333" s="6"/>
      <c r="M333" s="6"/>
      <c r="N333" s="6"/>
      <c r="O333" s="6"/>
    </row>
    <row r="334" spans="1:15" x14ac:dyDescent="0.25">
      <c r="A334" s="6"/>
      <c r="B334" s="21"/>
      <c r="C334" s="58"/>
      <c r="D334" s="62"/>
      <c r="E334" s="62"/>
      <c r="F334" s="62"/>
      <c r="G334" s="6"/>
      <c r="H334" s="6"/>
      <c r="I334" s="6"/>
      <c r="J334" s="6"/>
      <c r="K334" s="6"/>
      <c r="L334" s="6"/>
      <c r="M334" s="6"/>
      <c r="N334" s="6"/>
      <c r="O334" s="6"/>
    </row>
    <row r="335" spans="1:15" x14ac:dyDescent="0.25">
      <c r="A335" s="6"/>
      <c r="B335" s="21"/>
      <c r="C335" s="58"/>
      <c r="D335" s="62"/>
      <c r="E335" s="62"/>
      <c r="F335" s="62"/>
      <c r="G335" s="6"/>
      <c r="H335" s="6"/>
      <c r="I335" s="6"/>
      <c r="J335" s="6"/>
      <c r="K335" s="6"/>
      <c r="L335" s="6"/>
      <c r="M335" s="6"/>
      <c r="N335" s="6"/>
      <c r="O335" s="6"/>
    </row>
    <row r="336" spans="1:15" x14ac:dyDescent="0.25">
      <c r="A336" s="6"/>
      <c r="B336" s="21"/>
      <c r="C336" s="58"/>
      <c r="D336" s="62"/>
      <c r="E336" s="62"/>
      <c r="F336" s="62"/>
      <c r="G336" s="6"/>
      <c r="H336" s="6"/>
      <c r="I336" s="6"/>
      <c r="J336" s="6"/>
      <c r="K336" s="6"/>
      <c r="L336" s="6"/>
      <c r="M336" s="6"/>
      <c r="N336" s="6"/>
      <c r="O336" s="6"/>
    </row>
    <row r="337" spans="1:15" x14ac:dyDescent="0.25">
      <c r="A337" s="6"/>
      <c r="B337" s="21"/>
      <c r="C337" s="58"/>
      <c r="D337" s="62"/>
      <c r="E337" s="62"/>
      <c r="F337" s="62"/>
      <c r="G337" s="6"/>
      <c r="H337" s="6"/>
      <c r="I337" s="6"/>
      <c r="J337" s="6"/>
      <c r="K337" s="6"/>
      <c r="L337" s="6"/>
      <c r="M337" s="6"/>
      <c r="N337" s="6"/>
      <c r="O337" s="6"/>
    </row>
    <row r="338" spans="1:15" x14ac:dyDescent="0.25">
      <c r="A338" s="6"/>
      <c r="B338" s="21"/>
      <c r="C338" s="58"/>
      <c r="D338" s="62"/>
      <c r="E338" s="62"/>
      <c r="F338" s="62"/>
      <c r="G338" s="6"/>
      <c r="H338" s="6"/>
      <c r="I338" s="6"/>
      <c r="J338" s="6"/>
      <c r="K338" s="6"/>
      <c r="L338" s="6"/>
      <c r="M338" s="6"/>
      <c r="N338" s="6"/>
      <c r="O338" s="6"/>
    </row>
    <row r="339" spans="1:15" x14ac:dyDescent="0.25">
      <c r="A339" s="6"/>
      <c r="B339" s="21"/>
      <c r="C339" s="58"/>
      <c r="D339" s="62"/>
      <c r="E339" s="62"/>
      <c r="F339" s="62"/>
      <c r="G339" s="6"/>
      <c r="H339" s="6"/>
      <c r="I339" s="6"/>
      <c r="J339" s="6"/>
      <c r="K339" s="6"/>
      <c r="L339" s="6"/>
      <c r="M339" s="6"/>
      <c r="N339" s="6"/>
      <c r="O339" s="6"/>
    </row>
    <row r="340" spans="1:15" x14ac:dyDescent="0.25">
      <c r="A340" s="6"/>
      <c r="B340" s="21"/>
      <c r="C340" s="58"/>
      <c r="D340" s="62"/>
      <c r="E340" s="62"/>
      <c r="F340" s="62"/>
      <c r="G340" s="6"/>
      <c r="H340" s="6"/>
      <c r="I340" s="6"/>
      <c r="J340" s="6"/>
      <c r="K340" s="6"/>
      <c r="L340" s="6"/>
      <c r="M340" s="6"/>
      <c r="N340" s="6"/>
      <c r="O340" s="6"/>
    </row>
    <row r="341" spans="1:15" x14ac:dyDescent="0.25">
      <c r="A341" s="6"/>
      <c r="B341" s="21"/>
      <c r="C341" s="58"/>
      <c r="D341" s="62"/>
      <c r="E341" s="62"/>
      <c r="F341" s="62"/>
      <c r="G341" s="6"/>
      <c r="H341" s="6"/>
      <c r="I341" s="6"/>
      <c r="J341" s="6"/>
      <c r="K341" s="6"/>
      <c r="L341" s="6"/>
      <c r="M341" s="6"/>
      <c r="N341" s="6"/>
      <c r="O341" s="6"/>
    </row>
    <row r="342" spans="1:15" x14ac:dyDescent="0.25">
      <c r="A342" s="6"/>
      <c r="B342" s="21"/>
      <c r="C342" s="58"/>
      <c r="D342" s="62"/>
      <c r="E342" s="62"/>
      <c r="F342" s="62"/>
      <c r="G342" s="6"/>
      <c r="H342" s="6"/>
      <c r="I342" s="6"/>
      <c r="J342" s="6"/>
      <c r="K342" s="6"/>
      <c r="L342" s="6"/>
      <c r="M342" s="6"/>
      <c r="N342" s="6"/>
      <c r="O342" s="6"/>
    </row>
    <row r="343" spans="1:15" x14ac:dyDescent="0.25">
      <c r="A343" s="6"/>
      <c r="B343" s="21"/>
      <c r="C343" s="58"/>
      <c r="D343" s="62"/>
      <c r="E343" s="62"/>
      <c r="F343" s="62"/>
      <c r="G343" s="6"/>
      <c r="H343" s="6"/>
      <c r="I343" s="6"/>
      <c r="J343" s="6"/>
      <c r="K343" s="6"/>
      <c r="L343" s="6"/>
      <c r="M343" s="6"/>
      <c r="N343" s="6"/>
      <c r="O343" s="6"/>
    </row>
    <row r="344" spans="1:15" x14ac:dyDescent="0.25">
      <c r="A344" s="6"/>
      <c r="B344" s="21"/>
      <c r="C344" s="58"/>
      <c r="D344" s="62"/>
      <c r="E344" s="62"/>
      <c r="F344" s="62"/>
      <c r="G344" s="6"/>
      <c r="H344" s="6"/>
      <c r="I344" s="6"/>
      <c r="J344" s="6"/>
      <c r="K344" s="6"/>
      <c r="L344" s="6"/>
      <c r="M344" s="6"/>
      <c r="N344" s="6"/>
      <c r="O344" s="6"/>
    </row>
    <row r="345" spans="1:15" x14ac:dyDescent="0.25">
      <c r="A345" s="6"/>
      <c r="B345" s="21"/>
      <c r="C345" s="58"/>
      <c r="D345" s="62"/>
      <c r="E345" s="62"/>
      <c r="F345" s="62"/>
      <c r="G345" s="6"/>
      <c r="H345" s="6"/>
      <c r="I345" s="6"/>
      <c r="J345" s="6"/>
      <c r="K345" s="6"/>
      <c r="L345" s="6"/>
      <c r="M345" s="6"/>
      <c r="N345" s="6"/>
      <c r="O345" s="6"/>
    </row>
    <row r="346" spans="1:15" x14ac:dyDescent="0.25">
      <c r="A346" s="6"/>
      <c r="B346" s="21"/>
      <c r="C346" s="58"/>
      <c r="D346" s="62"/>
      <c r="E346" s="62"/>
      <c r="F346" s="62"/>
      <c r="G346" s="6"/>
      <c r="H346" s="6"/>
      <c r="I346" s="6"/>
      <c r="J346" s="6"/>
      <c r="K346" s="6"/>
      <c r="L346" s="6"/>
      <c r="M346" s="6"/>
      <c r="N346" s="6"/>
      <c r="O346" s="6"/>
    </row>
    <row r="347" spans="1:15" x14ac:dyDescent="0.25">
      <c r="A347" s="6"/>
      <c r="B347" s="21"/>
      <c r="C347" s="58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</row>
    <row r="348" spans="1:15" x14ac:dyDescent="0.25">
      <c r="A348" s="6"/>
      <c r="B348" s="21"/>
      <c r="C348" s="58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</row>
    <row r="349" spans="1:15" x14ac:dyDescent="0.25">
      <c r="A349" s="6"/>
      <c r="B349" s="21"/>
      <c r="C349" s="58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</row>
    <row r="350" spans="1:15" x14ac:dyDescent="0.25">
      <c r="A350" s="6"/>
      <c r="B350" s="21"/>
      <c r="C350" s="58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</row>
    <row r="351" spans="1:15" x14ac:dyDescent="0.25">
      <c r="A351" s="6"/>
      <c r="B351" s="21"/>
      <c r="C351" s="58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</row>
    <row r="352" spans="1:15" x14ac:dyDescent="0.25">
      <c r="A352" s="6"/>
      <c r="B352" s="21"/>
      <c r="C352" s="58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</row>
    <row r="353" spans="1:15" x14ac:dyDescent="0.25">
      <c r="A353" s="6"/>
      <c r="B353" s="21"/>
      <c r="C353" s="58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</row>
    <row r="354" spans="1:15" x14ac:dyDescent="0.25">
      <c r="A354" s="6"/>
      <c r="B354" s="21"/>
      <c r="C354" s="58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</row>
    <row r="355" spans="1:15" x14ac:dyDescent="0.25">
      <c r="A355" s="6"/>
      <c r="B355" s="21"/>
      <c r="C355" s="58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</row>
    <row r="356" spans="1:15" x14ac:dyDescent="0.25">
      <c r="A356" s="6"/>
      <c r="B356" s="21"/>
      <c r="C356" s="58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</row>
    <row r="357" spans="1:15" x14ac:dyDescent="0.25">
      <c r="A357" s="6"/>
      <c r="B357" s="21"/>
      <c r="C357" s="58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</row>
    <row r="358" spans="1:15" x14ac:dyDescent="0.25">
      <c r="A358" s="6"/>
      <c r="B358" s="21"/>
      <c r="C358" s="58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</row>
    <row r="359" spans="1:15" x14ac:dyDescent="0.25">
      <c r="A359" s="6"/>
      <c r="B359" s="21"/>
      <c r="C359" s="58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</row>
    <row r="360" spans="1:15" x14ac:dyDescent="0.25">
      <c r="A360" s="6"/>
      <c r="B360" s="21"/>
      <c r="C360" s="58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</row>
    <row r="361" spans="1:15" x14ac:dyDescent="0.25">
      <c r="A361" s="6"/>
      <c r="B361" s="21"/>
      <c r="C361" s="58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</row>
    <row r="362" spans="1:15" x14ac:dyDescent="0.25">
      <c r="A362" s="6"/>
      <c r="B362" s="21"/>
      <c r="C362" s="58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</row>
    <row r="363" spans="1:15" x14ac:dyDescent="0.25">
      <c r="A363" s="6"/>
      <c r="B363" s="21"/>
      <c r="C363" s="58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</row>
    <row r="364" spans="1:15" x14ac:dyDescent="0.25">
      <c r="A364" s="6"/>
      <c r="B364" s="21"/>
      <c r="C364" s="58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</row>
    <row r="365" spans="1:15" x14ac:dyDescent="0.25">
      <c r="A365" s="6"/>
      <c r="B365" s="21"/>
      <c r="C365" s="58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</row>
    <row r="366" spans="1:15" x14ac:dyDescent="0.25">
      <c r="A366" s="6"/>
      <c r="B366" s="21"/>
      <c r="C366" s="58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</row>
    <row r="367" spans="1:15" x14ac:dyDescent="0.25">
      <c r="A367" s="6"/>
      <c r="B367" s="21"/>
      <c r="C367" s="58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</row>
    <row r="368" spans="1:15" x14ac:dyDescent="0.25">
      <c r="A368" s="6"/>
      <c r="B368" s="21"/>
      <c r="C368" s="58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</row>
    <row r="369" spans="1:15" x14ac:dyDescent="0.25">
      <c r="A369" s="6"/>
      <c r="B369" s="21"/>
      <c r="C369" s="58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</row>
    <row r="370" spans="1:15" x14ac:dyDescent="0.25">
      <c r="A370" s="6"/>
      <c r="B370" s="21"/>
      <c r="C370" s="58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</row>
    <row r="371" spans="1:15" x14ac:dyDescent="0.25">
      <c r="A371" s="6"/>
      <c r="B371" s="21"/>
      <c r="C371" s="58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</row>
    <row r="372" spans="1:15" x14ac:dyDescent="0.25">
      <c r="A372" s="6"/>
      <c r="B372" s="21"/>
      <c r="C372" s="58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</row>
    <row r="373" spans="1:15" x14ac:dyDescent="0.25">
      <c r="A373" s="6"/>
      <c r="B373" s="21"/>
      <c r="C373" s="58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</row>
    <row r="374" spans="1:15" x14ac:dyDescent="0.25">
      <c r="A374" s="6"/>
      <c r="B374" s="21"/>
      <c r="C374" s="58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</row>
    <row r="375" spans="1:15" x14ac:dyDescent="0.25">
      <c r="A375" s="6"/>
      <c r="B375" s="21"/>
      <c r="C375" s="58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</row>
    <row r="376" spans="1:15" x14ac:dyDescent="0.25">
      <c r="A376" s="6"/>
      <c r="B376" s="21"/>
      <c r="C376" s="58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</row>
    <row r="377" spans="1:15" x14ac:dyDescent="0.25">
      <c r="A377" s="6"/>
      <c r="B377" s="21"/>
      <c r="C377" s="58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</row>
    <row r="378" spans="1:15" x14ac:dyDescent="0.25">
      <c r="A378" s="6"/>
      <c r="B378" s="21"/>
      <c r="C378" s="58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</row>
    <row r="379" spans="1:15" x14ac:dyDescent="0.25">
      <c r="A379" s="6"/>
      <c r="B379" s="21"/>
      <c r="C379" s="58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</row>
    <row r="380" spans="1:15" x14ac:dyDescent="0.25">
      <c r="A380" s="6"/>
      <c r="B380" s="21"/>
      <c r="C380" s="58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</row>
    <row r="381" spans="1:15" x14ac:dyDescent="0.25">
      <c r="A381" s="6"/>
      <c r="B381" s="21"/>
      <c r="C381" s="58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</row>
    <row r="382" spans="1:15" x14ac:dyDescent="0.25">
      <c r="A382" s="6"/>
      <c r="B382" s="21"/>
      <c r="C382" s="58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</row>
    <row r="383" spans="1:15" x14ac:dyDescent="0.25">
      <c r="A383" s="6"/>
      <c r="B383" s="21"/>
      <c r="C383" s="58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</row>
    <row r="384" spans="1:15" x14ac:dyDescent="0.25">
      <c r="A384" s="6"/>
      <c r="B384" s="21"/>
      <c r="C384" s="58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</row>
    <row r="385" spans="1:15" x14ac:dyDescent="0.25">
      <c r="A385" s="6"/>
      <c r="B385" s="21"/>
      <c r="C385" s="58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</row>
    <row r="386" spans="1:15" x14ac:dyDescent="0.25">
      <c r="A386" s="6"/>
      <c r="B386" s="21"/>
      <c r="C386" s="58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</row>
    <row r="387" spans="1:15" x14ac:dyDescent="0.25">
      <c r="A387" s="6"/>
      <c r="B387" s="21"/>
      <c r="C387" s="58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</row>
    <row r="388" spans="1:15" x14ac:dyDescent="0.25">
      <c r="A388" s="6"/>
      <c r="B388" s="21"/>
      <c r="C388" s="58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</row>
    <row r="389" spans="1:15" x14ac:dyDescent="0.25">
      <c r="A389" s="6"/>
      <c r="B389" s="21"/>
      <c r="C389" s="58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</row>
    <row r="390" spans="1:15" x14ac:dyDescent="0.25">
      <c r="A390" s="6"/>
      <c r="B390" s="21"/>
      <c r="C390" s="58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</row>
    <row r="391" spans="1:15" x14ac:dyDescent="0.25">
      <c r="A391" s="6"/>
      <c r="B391" s="21"/>
      <c r="C391" s="58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</row>
    <row r="392" spans="1:15" x14ac:dyDescent="0.25">
      <c r="A392" s="6"/>
      <c r="B392" s="21"/>
      <c r="C392" s="58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</row>
    <row r="393" spans="1:15" x14ac:dyDescent="0.25">
      <c r="A393" s="6"/>
      <c r="B393" s="21"/>
      <c r="C393" s="58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</row>
    <row r="394" spans="1:15" x14ac:dyDescent="0.25">
      <c r="A394" s="6"/>
      <c r="B394" s="21"/>
      <c r="C394" s="58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</row>
    <row r="395" spans="1:15" x14ac:dyDescent="0.25">
      <c r="A395" s="6"/>
      <c r="B395" s="21"/>
      <c r="C395" s="58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</row>
    <row r="396" spans="1:15" x14ac:dyDescent="0.25">
      <c r="A396" s="6"/>
      <c r="B396" s="21"/>
      <c r="C396" s="58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</row>
    <row r="397" spans="1:15" x14ac:dyDescent="0.25">
      <c r="A397" s="6"/>
      <c r="B397" s="21"/>
      <c r="C397" s="58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</row>
    <row r="398" spans="1:15" x14ac:dyDescent="0.25">
      <c r="A398" s="6"/>
      <c r="B398" s="21"/>
      <c r="C398" s="58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</row>
    <row r="399" spans="1:15" x14ac:dyDescent="0.25">
      <c r="A399" s="6"/>
      <c r="B399" s="21"/>
      <c r="C399" s="58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</row>
    <row r="400" spans="1:15" x14ac:dyDescent="0.25">
      <c r="A400" s="6"/>
      <c r="B400" s="21"/>
      <c r="C400" s="58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</row>
    <row r="401" spans="1:15" x14ac:dyDescent="0.25">
      <c r="A401" s="6"/>
      <c r="B401" s="21"/>
      <c r="C401" s="58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</row>
    <row r="402" spans="1:15" x14ac:dyDescent="0.25">
      <c r="A402" s="6"/>
      <c r="B402" s="21"/>
      <c r="C402" s="58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</row>
    <row r="403" spans="1:15" x14ac:dyDescent="0.25">
      <c r="A403" s="6"/>
      <c r="B403" s="21"/>
      <c r="C403" s="58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</row>
    <row r="404" spans="1:15" x14ac:dyDescent="0.25">
      <c r="A404" s="6"/>
      <c r="B404" s="21"/>
      <c r="C404" s="58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</row>
    <row r="405" spans="1:15" x14ac:dyDescent="0.25">
      <c r="A405" s="6"/>
      <c r="B405" s="21"/>
      <c r="C405" s="58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</row>
    <row r="406" spans="1:15" x14ac:dyDescent="0.25">
      <c r="A406" s="6"/>
      <c r="B406" s="21"/>
      <c r="C406" s="58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</row>
    <row r="407" spans="1:15" x14ac:dyDescent="0.25">
      <c r="A407" s="6"/>
      <c r="B407" s="21"/>
      <c r="C407" s="58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</row>
    <row r="408" spans="1:15" x14ac:dyDescent="0.25">
      <c r="A408" s="6"/>
      <c r="B408" s="21"/>
      <c r="C408" s="58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</row>
    <row r="409" spans="1:15" x14ac:dyDescent="0.25">
      <c r="A409" s="6"/>
      <c r="B409" s="21"/>
      <c r="C409" s="58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</row>
    <row r="410" spans="1:15" x14ac:dyDescent="0.25">
      <c r="A410" s="6"/>
      <c r="B410" s="21"/>
      <c r="C410" s="58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</row>
    <row r="411" spans="1:15" x14ac:dyDescent="0.25">
      <c r="A411" s="6"/>
      <c r="B411" s="21"/>
      <c r="C411" s="58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</row>
    <row r="412" spans="1:15" x14ac:dyDescent="0.25">
      <c r="A412" s="6"/>
      <c r="B412" s="21"/>
      <c r="C412" s="58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</row>
    <row r="413" spans="1:15" x14ac:dyDescent="0.25">
      <c r="A413" s="6"/>
      <c r="B413" s="21"/>
      <c r="C413" s="58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</row>
    <row r="414" spans="1:15" x14ac:dyDescent="0.25">
      <c r="A414" s="6"/>
      <c r="B414" s="21"/>
      <c r="C414" s="58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</row>
    <row r="415" spans="1:15" x14ac:dyDescent="0.25">
      <c r="A415" s="6"/>
      <c r="B415" s="21"/>
      <c r="C415" s="58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</row>
    <row r="416" spans="1:15" x14ac:dyDescent="0.25">
      <c r="A416" s="6"/>
      <c r="B416" s="21"/>
      <c r="C416" s="58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</row>
    <row r="417" spans="1:15" x14ac:dyDescent="0.25">
      <c r="A417" s="6"/>
      <c r="B417" s="21"/>
      <c r="C417" s="58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</row>
    <row r="418" spans="1:15" x14ac:dyDescent="0.25">
      <c r="A418" s="6"/>
      <c r="B418" s="21"/>
      <c r="C418" s="58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</row>
    <row r="419" spans="1:15" x14ac:dyDescent="0.25">
      <c r="A419" s="6"/>
      <c r="B419" s="21"/>
      <c r="C419" s="58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</row>
    <row r="420" spans="1:15" x14ac:dyDescent="0.25">
      <c r="A420" s="6"/>
      <c r="B420" s="21"/>
      <c r="C420" s="58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</row>
    <row r="421" spans="1:15" x14ac:dyDescent="0.25">
      <c r="A421" s="6"/>
      <c r="B421" s="21"/>
      <c r="C421" s="58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</row>
    <row r="422" spans="1:15" x14ac:dyDescent="0.25">
      <c r="A422" s="6"/>
      <c r="B422" s="21"/>
      <c r="C422" s="58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</row>
    <row r="423" spans="1:15" x14ac:dyDescent="0.25">
      <c r="A423" s="6"/>
      <c r="B423" s="21"/>
      <c r="C423" s="58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</row>
    <row r="424" spans="1:15" x14ac:dyDescent="0.25">
      <c r="A424" s="6"/>
      <c r="B424" s="21"/>
      <c r="C424" s="58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</row>
    <row r="425" spans="1:15" x14ac:dyDescent="0.25">
      <c r="A425" s="6"/>
      <c r="B425" s="21"/>
      <c r="C425" s="58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</row>
    <row r="426" spans="1:15" x14ac:dyDescent="0.25">
      <c r="A426" s="6"/>
      <c r="B426" s="21"/>
      <c r="C426" s="58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</row>
    <row r="427" spans="1:15" x14ac:dyDescent="0.25">
      <c r="A427" s="6"/>
      <c r="B427" s="21"/>
      <c r="C427" s="58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</row>
    <row r="428" spans="1:15" x14ac:dyDescent="0.25">
      <c r="A428" s="6"/>
      <c r="B428" s="21"/>
      <c r="C428" s="58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</row>
    <row r="429" spans="1:15" x14ac:dyDescent="0.25">
      <c r="A429" s="6"/>
      <c r="B429" s="21"/>
      <c r="C429" s="58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</row>
    <row r="430" spans="1:15" x14ac:dyDescent="0.25">
      <c r="A430" s="6"/>
      <c r="B430" s="21"/>
      <c r="C430" s="58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</row>
    <row r="431" spans="1:15" x14ac:dyDescent="0.25">
      <c r="A431" s="6"/>
      <c r="B431" s="21"/>
      <c r="C431" s="58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</row>
    <row r="432" spans="1:15" x14ac:dyDescent="0.25">
      <c r="A432" s="6"/>
      <c r="B432" s="21"/>
      <c r="C432" s="58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</row>
    <row r="433" spans="1:15" x14ac:dyDescent="0.25">
      <c r="A433" s="6"/>
      <c r="B433" s="21"/>
      <c r="C433" s="58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</row>
    <row r="434" spans="1:15" x14ac:dyDescent="0.25">
      <c r="A434" s="6"/>
      <c r="B434" s="21"/>
      <c r="C434" s="58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</row>
    <row r="435" spans="1:15" x14ac:dyDescent="0.25">
      <c r="A435" s="6"/>
      <c r="B435" s="21"/>
      <c r="C435" s="58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</row>
    <row r="436" spans="1:15" x14ac:dyDescent="0.25">
      <c r="A436" s="6"/>
      <c r="B436" s="21"/>
      <c r="C436" s="58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</row>
    <row r="437" spans="1:15" x14ac:dyDescent="0.25">
      <c r="A437" s="6"/>
      <c r="B437" s="21"/>
      <c r="C437" s="58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</row>
    <row r="438" spans="1:15" x14ac:dyDescent="0.25">
      <c r="A438" s="6"/>
      <c r="B438" s="21"/>
      <c r="C438" s="58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</row>
    <row r="439" spans="1:15" x14ac:dyDescent="0.25">
      <c r="A439" s="6"/>
      <c r="B439" s="21"/>
      <c r="C439" s="58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</row>
    <row r="440" spans="1:15" x14ac:dyDescent="0.25">
      <c r="A440" s="6"/>
      <c r="B440" s="21"/>
      <c r="C440" s="58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</row>
    <row r="441" spans="1:15" x14ac:dyDescent="0.25">
      <c r="A441" s="6"/>
      <c r="B441" s="21"/>
      <c r="C441" s="58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</row>
    <row r="442" spans="1:15" x14ac:dyDescent="0.25">
      <c r="A442" s="6"/>
      <c r="B442" s="21"/>
      <c r="C442" s="58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</row>
    <row r="443" spans="1:15" x14ac:dyDescent="0.25">
      <c r="A443" s="6"/>
      <c r="B443" s="21"/>
      <c r="C443" s="58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</row>
    <row r="444" spans="1:15" x14ac:dyDescent="0.25">
      <c r="A444" s="6"/>
      <c r="B444" s="21"/>
      <c r="C444" s="58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</row>
    <row r="445" spans="1:15" x14ac:dyDescent="0.25">
      <c r="A445" s="6"/>
      <c r="B445" s="21"/>
      <c r="C445" s="58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</row>
    <row r="446" spans="1:15" x14ac:dyDescent="0.25">
      <c r="A446" s="6"/>
      <c r="B446" s="21"/>
      <c r="C446" s="58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</row>
    <row r="447" spans="1:15" x14ac:dyDescent="0.25">
      <c r="A447" s="6"/>
      <c r="B447" s="21"/>
      <c r="C447" s="58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</row>
    <row r="448" spans="1:15" x14ac:dyDescent="0.25">
      <c r="A448" s="6"/>
      <c r="B448" s="21"/>
      <c r="C448" s="58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</row>
    <row r="449" spans="1:15" x14ac:dyDescent="0.25">
      <c r="A449" s="6"/>
      <c r="B449" s="21"/>
      <c r="C449" s="58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</row>
    <row r="450" spans="1:15" x14ac:dyDescent="0.25">
      <c r="A450" s="6"/>
      <c r="B450" s="21"/>
      <c r="C450" s="58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</row>
    <row r="451" spans="1:15" x14ac:dyDescent="0.25">
      <c r="A451" s="6"/>
      <c r="B451" s="21"/>
      <c r="C451" s="58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</row>
    <row r="452" spans="1:15" x14ac:dyDescent="0.25">
      <c r="A452" s="6"/>
      <c r="B452" s="21"/>
      <c r="C452" s="58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</row>
    <row r="453" spans="1:15" x14ac:dyDescent="0.25">
      <c r="A453" s="6"/>
      <c r="B453" s="21"/>
      <c r="C453" s="58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</row>
    <row r="454" spans="1:15" x14ac:dyDescent="0.25">
      <c r="A454" s="6"/>
      <c r="B454" s="21"/>
      <c r="C454" s="58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</row>
    <row r="455" spans="1:15" x14ac:dyDescent="0.25">
      <c r="A455" s="6"/>
      <c r="B455" s="21"/>
      <c r="C455" s="58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</row>
    <row r="456" spans="1:15" x14ac:dyDescent="0.25">
      <c r="A456" s="6"/>
      <c r="B456" s="21"/>
      <c r="C456" s="58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</row>
    <row r="457" spans="1:15" x14ac:dyDescent="0.25">
      <c r="A457" s="6"/>
      <c r="B457" s="21"/>
      <c r="C457" s="58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</row>
    <row r="458" spans="1:15" x14ac:dyDescent="0.25">
      <c r="A458" s="6"/>
      <c r="B458" s="21"/>
      <c r="C458" s="58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</row>
    <row r="459" spans="1:15" x14ac:dyDescent="0.25">
      <c r="A459" s="6"/>
      <c r="B459" s="21"/>
      <c r="C459" s="58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</row>
    <row r="460" spans="1:15" x14ac:dyDescent="0.25">
      <c r="A460" s="6"/>
      <c r="B460" s="21"/>
      <c r="C460" s="58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</row>
    <row r="461" spans="1:15" x14ac:dyDescent="0.25">
      <c r="A461" s="6"/>
      <c r="B461" s="21"/>
      <c r="C461" s="58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</row>
    <row r="462" spans="1:15" x14ac:dyDescent="0.25">
      <c r="A462" s="6"/>
      <c r="B462" s="21"/>
      <c r="C462" s="58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</row>
    <row r="463" spans="1:15" x14ac:dyDescent="0.25">
      <c r="A463" s="6"/>
      <c r="B463" s="21"/>
      <c r="C463" s="58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</row>
    <row r="464" spans="1:15" x14ac:dyDescent="0.25">
      <c r="A464" s="6"/>
      <c r="B464" s="21"/>
      <c r="C464" s="58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</row>
    <row r="465" spans="1:15" x14ac:dyDescent="0.25">
      <c r="A465" s="6"/>
      <c r="B465" s="21"/>
      <c r="C465" s="58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</row>
    <row r="466" spans="1:15" x14ac:dyDescent="0.25">
      <c r="A466" s="6"/>
      <c r="B466" s="21"/>
      <c r="C466" s="58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</row>
    <row r="467" spans="1:15" x14ac:dyDescent="0.25">
      <c r="A467" s="6"/>
      <c r="B467" s="21"/>
      <c r="C467" s="58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</row>
    <row r="468" spans="1:15" x14ac:dyDescent="0.25">
      <c r="A468" s="6"/>
      <c r="B468" s="21"/>
      <c r="C468" s="58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</row>
    <row r="469" spans="1:15" x14ac:dyDescent="0.25">
      <c r="A469" s="6"/>
      <c r="B469" s="21"/>
      <c r="C469" s="58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</row>
    <row r="470" spans="1:15" x14ac:dyDescent="0.25">
      <c r="A470" s="6"/>
      <c r="B470" s="21"/>
      <c r="C470" s="58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</row>
    <row r="471" spans="1:15" x14ac:dyDescent="0.25">
      <c r="A471" s="6"/>
      <c r="B471" s="21"/>
      <c r="C471" s="58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</row>
    <row r="472" spans="1:15" x14ac:dyDescent="0.25">
      <c r="A472" s="6"/>
      <c r="B472" s="21"/>
      <c r="C472" s="58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</row>
    <row r="473" spans="1:15" x14ac:dyDescent="0.25">
      <c r="A473" s="6"/>
      <c r="B473" s="21"/>
      <c r="C473" s="58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</row>
    <row r="474" spans="1:15" x14ac:dyDescent="0.25">
      <c r="A474" s="6"/>
      <c r="B474" s="21"/>
      <c r="C474" s="58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</row>
    <row r="475" spans="1:15" x14ac:dyDescent="0.25">
      <c r="A475" s="6"/>
      <c r="B475" s="21"/>
      <c r="C475" s="58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</row>
    <row r="476" spans="1:15" x14ac:dyDescent="0.25">
      <c r="A476" s="6"/>
      <c r="B476" s="21"/>
      <c r="C476" s="58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</row>
    <row r="477" spans="1:15" x14ac:dyDescent="0.25">
      <c r="A477" s="6"/>
      <c r="B477" s="21"/>
      <c r="C477" s="58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</row>
    <row r="478" spans="1:15" x14ac:dyDescent="0.25">
      <c r="A478" s="6"/>
      <c r="B478" s="21"/>
      <c r="C478" s="58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</row>
    <row r="479" spans="1:15" x14ac:dyDescent="0.25">
      <c r="A479" s="6"/>
      <c r="B479" s="21"/>
      <c r="C479" s="58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</row>
    <row r="480" spans="1:15" x14ac:dyDescent="0.25">
      <c r="A480" s="6"/>
      <c r="B480" s="21"/>
      <c r="C480" s="58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</row>
    <row r="481" spans="1:15" x14ac:dyDescent="0.25">
      <c r="A481" s="6"/>
      <c r="B481" s="21"/>
      <c r="C481" s="58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</row>
    <row r="482" spans="1:15" x14ac:dyDescent="0.25">
      <c r="A482" s="6"/>
      <c r="B482" s="21"/>
      <c r="C482" s="58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</row>
    <row r="483" spans="1:15" x14ac:dyDescent="0.25">
      <c r="A483" s="6"/>
      <c r="B483" s="21"/>
      <c r="C483" s="58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</row>
    <row r="484" spans="1:15" x14ac:dyDescent="0.25">
      <c r="A484" s="6"/>
      <c r="B484" s="21"/>
      <c r="C484" s="58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</row>
    <row r="485" spans="1:15" x14ac:dyDescent="0.25">
      <c r="B485" s="72"/>
      <c r="C485" s="73"/>
    </row>
    <row r="486" spans="1:15" x14ac:dyDescent="0.25">
      <c r="B486" s="72"/>
      <c r="C486" s="73"/>
    </row>
    <row r="487" spans="1:15" x14ac:dyDescent="0.25">
      <c r="B487" s="72"/>
      <c r="C487" s="73"/>
    </row>
    <row r="488" spans="1:15" x14ac:dyDescent="0.25">
      <c r="B488" s="72"/>
      <c r="C488" s="73"/>
    </row>
    <row r="489" spans="1:15" x14ac:dyDescent="0.25">
      <c r="B489" s="72"/>
      <c r="C489" s="73"/>
    </row>
    <row r="490" spans="1:15" x14ac:dyDescent="0.25">
      <c r="B490" s="72"/>
      <c r="C490" s="73"/>
    </row>
    <row r="491" spans="1:15" x14ac:dyDescent="0.25">
      <c r="B491" s="72"/>
      <c r="C491" s="73"/>
    </row>
    <row r="492" spans="1:15" x14ac:dyDescent="0.25">
      <c r="B492" s="72"/>
      <c r="C492" s="73"/>
    </row>
    <row r="493" spans="1:15" x14ac:dyDescent="0.25">
      <c r="B493" s="72"/>
      <c r="C493" s="73"/>
    </row>
    <row r="494" spans="1:15" x14ac:dyDescent="0.25">
      <c r="B494" s="72"/>
      <c r="C494" s="73"/>
    </row>
    <row r="495" spans="1:15" x14ac:dyDescent="0.25">
      <c r="B495" s="72"/>
      <c r="C495" s="73"/>
    </row>
    <row r="496" spans="1:15" x14ac:dyDescent="0.25">
      <c r="B496" s="72"/>
      <c r="C496" s="73"/>
    </row>
    <row r="497" spans="2:3" x14ac:dyDescent="0.25">
      <c r="B497" s="72"/>
      <c r="C497" s="73"/>
    </row>
    <row r="498" spans="2:3" x14ac:dyDescent="0.25">
      <c r="B498" s="72"/>
      <c r="C498" s="73"/>
    </row>
    <row r="499" spans="2:3" x14ac:dyDescent="0.25">
      <c r="B499" s="72"/>
      <c r="C499" s="73"/>
    </row>
    <row r="500" spans="2:3" x14ac:dyDescent="0.25">
      <c r="B500" s="72"/>
      <c r="C500" s="73"/>
    </row>
    <row r="501" spans="2:3" x14ac:dyDescent="0.25">
      <c r="B501" s="72"/>
      <c r="C501" s="73"/>
    </row>
    <row r="502" spans="2:3" x14ac:dyDescent="0.25">
      <c r="B502" s="72"/>
      <c r="C502" s="73"/>
    </row>
    <row r="503" spans="2:3" x14ac:dyDescent="0.25">
      <c r="B503" s="72"/>
      <c r="C503" s="73"/>
    </row>
    <row r="504" spans="2:3" x14ac:dyDescent="0.25">
      <c r="B504" s="72"/>
      <c r="C504" s="73"/>
    </row>
    <row r="505" spans="2:3" x14ac:dyDescent="0.25">
      <c r="B505" s="72"/>
      <c r="C505" s="73"/>
    </row>
    <row r="506" spans="2:3" x14ac:dyDescent="0.25">
      <c r="B506" s="72"/>
      <c r="C506" s="73"/>
    </row>
    <row r="507" spans="2:3" x14ac:dyDescent="0.25">
      <c r="B507" s="72"/>
      <c r="C507" s="73"/>
    </row>
    <row r="508" spans="2:3" x14ac:dyDescent="0.25">
      <c r="B508" s="72"/>
      <c r="C508" s="73"/>
    </row>
    <row r="509" spans="2:3" x14ac:dyDescent="0.25">
      <c r="B509" s="72"/>
      <c r="C509" s="73"/>
    </row>
    <row r="510" spans="2:3" x14ac:dyDescent="0.25">
      <c r="B510" s="72"/>
      <c r="C510" s="73"/>
    </row>
    <row r="511" spans="2:3" x14ac:dyDescent="0.25">
      <c r="B511" s="72"/>
      <c r="C511" s="73"/>
    </row>
    <row r="512" spans="2:3" x14ac:dyDescent="0.25">
      <c r="B512" s="72"/>
      <c r="C512" s="73"/>
    </row>
    <row r="513" spans="2:3" x14ac:dyDescent="0.25">
      <c r="B513" s="72"/>
      <c r="C513" s="73"/>
    </row>
    <row r="514" spans="2:3" x14ac:dyDescent="0.25">
      <c r="B514" s="72"/>
      <c r="C514" s="73"/>
    </row>
    <row r="515" spans="2:3" x14ac:dyDescent="0.25">
      <c r="B515" s="72"/>
      <c r="C515" s="73"/>
    </row>
    <row r="516" spans="2:3" x14ac:dyDescent="0.25">
      <c r="B516" s="72"/>
      <c r="C516" s="73"/>
    </row>
    <row r="517" spans="2:3" x14ac:dyDescent="0.25">
      <c r="B517" s="72"/>
      <c r="C517" s="73"/>
    </row>
    <row r="518" spans="2:3" x14ac:dyDescent="0.25">
      <c r="B518" s="72"/>
      <c r="C518" s="73"/>
    </row>
    <row r="519" spans="2:3" x14ac:dyDescent="0.25">
      <c r="B519" s="72"/>
      <c r="C519" s="73"/>
    </row>
    <row r="520" spans="2:3" x14ac:dyDescent="0.25">
      <c r="B520" s="72"/>
      <c r="C520" s="73"/>
    </row>
    <row r="521" spans="2:3" x14ac:dyDescent="0.25">
      <c r="B521" s="72"/>
      <c r="C521" s="73"/>
    </row>
    <row r="522" spans="2:3" x14ac:dyDescent="0.25">
      <c r="B522" s="72"/>
      <c r="C522" s="73"/>
    </row>
    <row r="523" spans="2:3" x14ac:dyDescent="0.25">
      <c r="B523" s="72"/>
      <c r="C523" s="73"/>
    </row>
    <row r="524" spans="2:3" x14ac:dyDescent="0.25">
      <c r="B524" s="72"/>
      <c r="C524" s="73"/>
    </row>
    <row r="525" spans="2:3" x14ac:dyDescent="0.25">
      <c r="B525" s="72"/>
      <c r="C525" s="73"/>
    </row>
    <row r="526" spans="2:3" x14ac:dyDescent="0.25">
      <c r="B526" s="72"/>
      <c r="C526" s="73"/>
    </row>
    <row r="527" spans="2:3" x14ac:dyDescent="0.25">
      <c r="B527" s="72"/>
      <c r="C527" s="73"/>
    </row>
    <row r="528" spans="2:3" x14ac:dyDescent="0.25">
      <c r="B528" s="72"/>
      <c r="C528" s="73"/>
    </row>
    <row r="529" spans="2:3" x14ac:dyDescent="0.25">
      <c r="B529" s="72"/>
      <c r="C529" s="73"/>
    </row>
    <row r="530" spans="2:3" x14ac:dyDescent="0.25">
      <c r="B530" s="72"/>
      <c r="C530" s="73"/>
    </row>
    <row r="531" spans="2:3" x14ac:dyDescent="0.25">
      <c r="B531" s="72"/>
      <c r="C531" s="73"/>
    </row>
    <row r="532" spans="2:3" x14ac:dyDescent="0.25">
      <c r="B532" s="72"/>
      <c r="C532" s="73"/>
    </row>
    <row r="533" spans="2:3" x14ac:dyDescent="0.25">
      <c r="B533" s="72"/>
      <c r="C533" s="73"/>
    </row>
    <row r="534" spans="2:3" x14ac:dyDescent="0.25">
      <c r="B534" s="72"/>
      <c r="C534" s="73"/>
    </row>
    <row r="535" spans="2:3" x14ac:dyDescent="0.25">
      <c r="B535" s="72"/>
      <c r="C535" s="73"/>
    </row>
    <row r="536" spans="2:3" x14ac:dyDescent="0.25">
      <c r="B536" s="72"/>
      <c r="C536" s="73"/>
    </row>
    <row r="537" spans="2:3" x14ac:dyDescent="0.25">
      <c r="B537" s="72"/>
      <c r="C537" s="73"/>
    </row>
    <row r="538" spans="2:3" x14ac:dyDescent="0.25">
      <c r="B538" s="72"/>
      <c r="C538" s="73"/>
    </row>
    <row r="539" spans="2:3" x14ac:dyDescent="0.25">
      <c r="B539" s="72"/>
      <c r="C539" s="73"/>
    </row>
    <row r="540" spans="2:3" x14ac:dyDescent="0.25">
      <c r="B540" s="72"/>
      <c r="C540" s="73"/>
    </row>
    <row r="541" spans="2:3" x14ac:dyDescent="0.25">
      <c r="B541" s="72"/>
      <c r="C541" s="73"/>
    </row>
    <row r="542" spans="2:3" x14ac:dyDescent="0.25">
      <c r="B542" s="72"/>
      <c r="C542" s="73"/>
    </row>
    <row r="543" spans="2:3" x14ac:dyDescent="0.25">
      <c r="B543" s="72"/>
      <c r="C543" s="73"/>
    </row>
    <row r="544" spans="2:3" x14ac:dyDescent="0.25">
      <c r="B544" s="72"/>
      <c r="C544" s="73"/>
    </row>
    <row r="545" spans="2:3" x14ac:dyDescent="0.25">
      <c r="B545" s="72"/>
      <c r="C545" s="73"/>
    </row>
    <row r="546" spans="2:3" x14ac:dyDescent="0.25">
      <c r="B546" s="72"/>
      <c r="C546" s="73"/>
    </row>
    <row r="547" spans="2:3" x14ac:dyDescent="0.25">
      <c r="B547" s="72"/>
      <c r="C547" s="73"/>
    </row>
    <row r="548" spans="2:3" x14ac:dyDescent="0.25">
      <c r="B548" s="72"/>
      <c r="C548" s="73"/>
    </row>
    <row r="549" spans="2:3" x14ac:dyDescent="0.25">
      <c r="B549" s="72"/>
      <c r="C549" s="73"/>
    </row>
    <row r="550" spans="2:3" x14ac:dyDescent="0.25">
      <c r="B550" s="72"/>
      <c r="C550" s="73"/>
    </row>
    <row r="551" spans="2:3" x14ac:dyDescent="0.25">
      <c r="B551" s="72"/>
      <c r="C551" s="73"/>
    </row>
    <row r="552" spans="2:3" x14ac:dyDescent="0.25">
      <c r="B552" s="72"/>
      <c r="C552" s="73"/>
    </row>
    <row r="553" spans="2:3" x14ac:dyDescent="0.25">
      <c r="B553" s="72"/>
      <c r="C553" s="73"/>
    </row>
    <row r="554" spans="2:3" x14ac:dyDescent="0.25">
      <c r="B554" s="72"/>
      <c r="C554" s="73"/>
    </row>
    <row r="555" spans="2:3" x14ac:dyDescent="0.25">
      <c r="B555" s="72"/>
      <c r="C555" s="73"/>
    </row>
    <row r="556" spans="2:3" x14ac:dyDescent="0.25">
      <c r="B556" s="72"/>
      <c r="C556" s="73"/>
    </row>
    <row r="557" spans="2:3" x14ac:dyDescent="0.25">
      <c r="B557" s="72"/>
      <c r="C557" s="73"/>
    </row>
    <row r="558" spans="2:3" x14ac:dyDescent="0.25">
      <c r="B558" s="72"/>
      <c r="C558" s="73"/>
    </row>
    <row r="559" spans="2:3" x14ac:dyDescent="0.25">
      <c r="B559" s="72"/>
      <c r="C559" s="73"/>
    </row>
    <row r="560" spans="2:3" x14ac:dyDescent="0.25">
      <c r="B560" s="72"/>
      <c r="C560" s="73"/>
    </row>
    <row r="561" spans="2:3" x14ac:dyDescent="0.25">
      <c r="B561" s="72"/>
      <c r="C561" s="73"/>
    </row>
    <row r="562" spans="2:3" x14ac:dyDescent="0.25">
      <c r="B562" s="72"/>
      <c r="C562" s="73"/>
    </row>
    <row r="563" spans="2:3" x14ac:dyDescent="0.25">
      <c r="B563" s="72"/>
      <c r="C563" s="73"/>
    </row>
    <row r="564" spans="2:3" x14ac:dyDescent="0.25">
      <c r="B564" s="72"/>
      <c r="C564" s="73"/>
    </row>
    <row r="565" spans="2:3" x14ac:dyDescent="0.25">
      <c r="B565" s="72"/>
      <c r="C565" s="73"/>
    </row>
    <row r="566" spans="2:3" x14ac:dyDescent="0.25">
      <c r="B566" s="72"/>
      <c r="C566" s="73"/>
    </row>
    <row r="567" spans="2:3" x14ac:dyDescent="0.25">
      <c r="B567" s="72"/>
      <c r="C567" s="73"/>
    </row>
    <row r="568" spans="2:3" x14ac:dyDescent="0.25">
      <c r="B568" s="72"/>
      <c r="C568" s="73"/>
    </row>
    <row r="569" spans="2:3" x14ac:dyDescent="0.25">
      <c r="B569" s="72"/>
      <c r="C569" s="73"/>
    </row>
    <row r="570" spans="2:3" x14ac:dyDescent="0.25">
      <c r="B570" s="72"/>
      <c r="C570" s="73"/>
    </row>
    <row r="571" spans="2:3" x14ac:dyDescent="0.25">
      <c r="B571" s="72"/>
      <c r="C571" s="73"/>
    </row>
    <row r="572" spans="2:3" x14ac:dyDescent="0.25">
      <c r="B572" s="72"/>
      <c r="C572" s="73"/>
    </row>
    <row r="573" spans="2:3" x14ac:dyDescent="0.25">
      <c r="B573" s="72"/>
      <c r="C573" s="73"/>
    </row>
    <row r="574" spans="2:3" x14ac:dyDescent="0.25">
      <c r="B574" s="72"/>
      <c r="C574" s="73"/>
    </row>
    <row r="575" spans="2:3" x14ac:dyDescent="0.25">
      <c r="B575" s="72"/>
      <c r="C575" s="73"/>
    </row>
    <row r="576" spans="2:3" x14ac:dyDescent="0.25">
      <c r="B576" s="72"/>
      <c r="C576" s="73"/>
    </row>
    <row r="577" spans="2:3" x14ac:dyDescent="0.25">
      <c r="B577" s="72"/>
      <c r="C577" s="73"/>
    </row>
    <row r="578" spans="2:3" x14ac:dyDescent="0.25">
      <c r="B578" s="72"/>
      <c r="C578" s="73"/>
    </row>
    <row r="579" spans="2:3" x14ac:dyDescent="0.25">
      <c r="B579" s="72"/>
      <c r="C579" s="73"/>
    </row>
    <row r="580" spans="2:3" x14ac:dyDescent="0.25">
      <c r="B580" s="72"/>
      <c r="C580" s="73"/>
    </row>
    <row r="581" spans="2:3" x14ac:dyDescent="0.25">
      <c r="B581" s="72"/>
      <c r="C581" s="73"/>
    </row>
    <row r="582" spans="2:3" x14ac:dyDescent="0.25">
      <c r="B582" s="72"/>
      <c r="C582" s="73"/>
    </row>
    <row r="583" spans="2:3" x14ac:dyDescent="0.25">
      <c r="B583" s="72"/>
      <c r="C583" s="73"/>
    </row>
    <row r="584" spans="2:3" x14ac:dyDescent="0.25">
      <c r="B584" s="72"/>
      <c r="C584" s="73"/>
    </row>
    <row r="585" spans="2:3" x14ac:dyDescent="0.25">
      <c r="B585" s="72"/>
      <c r="C585" s="73"/>
    </row>
    <row r="586" spans="2:3" x14ac:dyDescent="0.25">
      <c r="B586" s="72"/>
      <c r="C586" s="73"/>
    </row>
    <row r="587" spans="2:3" x14ac:dyDescent="0.25">
      <c r="B587" s="72"/>
      <c r="C587" s="73"/>
    </row>
    <row r="588" spans="2:3" x14ac:dyDescent="0.25">
      <c r="B588" s="72"/>
      <c r="C588" s="73"/>
    </row>
    <row r="589" spans="2:3" x14ac:dyDescent="0.25">
      <c r="B589" s="72"/>
      <c r="C589" s="73"/>
    </row>
    <row r="590" spans="2:3" x14ac:dyDescent="0.25">
      <c r="B590" s="72"/>
      <c r="C590" s="73"/>
    </row>
    <row r="591" spans="2:3" x14ac:dyDescent="0.25">
      <c r="B591" s="72"/>
      <c r="C591" s="73"/>
    </row>
    <row r="592" spans="2:3" x14ac:dyDescent="0.25">
      <c r="B592" s="72"/>
      <c r="C592" s="73"/>
    </row>
    <row r="593" spans="2:3" x14ac:dyDescent="0.25">
      <c r="B593" s="72"/>
      <c r="C593" s="73"/>
    </row>
    <row r="594" spans="2:3" x14ac:dyDescent="0.25">
      <c r="B594" s="72"/>
      <c r="C594" s="73"/>
    </row>
    <row r="595" spans="2:3" x14ac:dyDescent="0.25">
      <c r="B595" s="72"/>
      <c r="C595" s="73"/>
    </row>
    <row r="596" spans="2:3" x14ac:dyDescent="0.25">
      <c r="B596" s="72"/>
      <c r="C596" s="73"/>
    </row>
    <row r="597" spans="2:3" x14ac:dyDescent="0.25">
      <c r="B597" s="72"/>
      <c r="C597" s="73"/>
    </row>
    <row r="598" spans="2:3" x14ac:dyDescent="0.25">
      <c r="B598" s="72"/>
      <c r="C598" s="73"/>
    </row>
    <row r="599" spans="2:3" x14ac:dyDescent="0.25">
      <c r="B599" s="72"/>
      <c r="C599" s="73"/>
    </row>
    <row r="600" spans="2:3" x14ac:dyDescent="0.25">
      <c r="B600" s="72"/>
      <c r="C600" s="73"/>
    </row>
    <row r="601" spans="2:3" x14ac:dyDescent="0.25">
      <c r="B601" s="72"/>
      <c r="C601" s="73"/>
    </row>
    <row r="602" spans="2:3" x14ac:dyDescent="0.25">
      <c r="B602" s="72"/>
      <c r="C602" s="73"/>
    </row>
    <row r="603" spans="2:3" x14ac:dyDescent="0.25">
      <c r="B603" s="72"/>
      <c r="C603" s="73"/>
    </row>
    <row r="604" spans="2:3" x14ac:dyDescent="0.25">
      <c r="B604" s="72"/>
      <c r="C604" s="73"/>
    </row>
    <row r="605" spans="2:3" x14ac:dyDescent="0.25">
      <c r="B605" s="72"/>
      <c r="C605" s="73"/>
    </row>
    <row r="606" spans="2:3" x14ac:dyDescent="0.25">
      <c r="B606" s="72"/>
      <c r="C606" s="73"/>
    </row>
    <row r="607" spans="2:3" x14ac:dyDescent="0.25">
      <c r="B607" s="72"/>
      <c r="C607" s="73"/>
    </row>
    <row r="608" spans="2:3" x14ac:dyDescent="0.25">
      <c r="B608" s="72"/>
      <c r="C608" s="73"/>
    </row>
    <row r="609" spans="2:3" x14ac:dyDescent="0.25">
      <c r="B609" s="72"/>
      <c r="C609" s="73"/>
    </row>
    <row r="610" spans="2:3" x14ac:dyDescent="0.25">
      <c r="B610" s="72"/>
      <c r="C610" s="73"/>
    </row>
    <row r="611" spans="2:3" x14ac:dyDescent="0.25">
      <c r="B611" s="72"/>
      <c r="C611" s="73"/>
    </row>
    <row r="612" spans="2:3" x14ac:dyDescent="0.25">
      <c r="B612" s="72"/>
      <c r="C612" s="73"/>
    </row>
    <row r="613" spans="2:3" x14ac:dyDescent="0.25">
      <c r="B613" s="72"/>
      <c r="C613" s="73"/>
    </row>
    <row r="614" spans="2:3" x14ac:dyDescent="0.25">
      <c r="B614" s="72"/>
      <c r="C614" s="73"/>
    </row>
    <row r="615" spans="2:3" x14ac:dyDescent="0.25">
      <c r="B615" s="72"/>
      <c r="C615" s="73"/>
    </row>
    <row r="616" spans="2:3" x14ac:dyDescent="0.25">
      <c r="B616" s="72"/>
      <c r="C616" s="73"/>
    </row>
    <row r="617" spans="2:3" x14ac:dyDescent="0.25">
      <c r="B617" s="72"/>
      <c r="C617" s="73"/>
    </row>
    <row r="618" spans="2:3" x14ac:dyDescent="0.25">
      <c r="B618" s="72"/>
      <c r="C618" s="73"/>
    </row>
    <row r="619" spans="2:3" x14ac:dyDescent="0.25">
      <c r="B619" s="72"/>
      <c r="C619" s="73"/>
    </row>
    <row r="620" spans="2:3" x14ac:dyDescent="0.25">
      <c r="B620" s="72"/>
      <c r="C620" s="73"/>
    </row>
    <row r="621" spans="2:3" x14ac:dyDescent="0.25">
      <c r="B621" s="72"/>
      <c r="C621" s="73"/>
    </row>
    <row r="622" spans="2:3" x14ac:dyDescent="0.25">
      <c r="B622" s="72"/>
      <c r="C622" s="73"/>
    </row>
    <row r="623" spans="2:3" x14ac:dyDescent="0.25">
      <c r="B623" s="72"/>
      <c r="C623" s="73"/>
    </row>
    <row r="624" spans="2:3" x14ac:dyDescent="0.25">
      <c r="B624" s="72"/>
      <c r="C624" s="73"/>
    </row>
    <row r="625" spans="2:3" x14ac:dyDescent="0.25">
      <c r="B625" s="72"/>
      <c r="C625" s="73"/>
    </row>
    <row r="626" spans="2:3" x14ac:dyDescent="0.25">
      <c r="B626" s="72"/>
      <c r="C626" s="73"/>
    </row>
    <row r="627" spans="2:3" x14ac:dyDescent="0.25">
      <c r="B627" s="72"/>
      <c r="C627" s="73"/>
    </row>
    <row r="628" spans="2:3" x14ac:dyDescent="0.25">
      <c r="B628" s="72"/>
      <c r="C628" s="73"/>
    </row>
    <row r="629" spans="2:3" x14ac:dyDescent="0.25">
      <c r="B629" s="72"/>
      <c r="C629" s="73"/>
    </row>
    <row r="630" spans="2:3" x14ac:dyDescent="0.25">
      <c r="B630" s="72"/>
      <c r="C630" s="73"/>
    </row>
    <row r="631" spans="2:3" x14ac:dyDescent="0.25">
      <c r="B631" s="72"/>
      <c r="C631" s="73"/>
    </row>
    <row r="632" spans="2:3" x14ac:dyDescent="0.25">
      <c r="B632" s="72"/>
      <c r="C632" s="73"/>
    </row>
    <row r="633" spans="2:3" x14ac:dyDescent="0.25">
      <c r="B633" s="72"/>
      <c r="C633" s="73"/>
    </row>
    <row r="634" spans="2:3" x14ac:dyDescent="0.25">
      <c r="B634" s="72"/>
      <c r="C634" s="73"/>
    </row>
    <row r="635" spans="2:3" x14ac:dyDescent="0.25">
      <c r="B635" s="72"/>
      <c r="C635" s="73"/>
    </row>
    <row r="636" spans="2:3" x14ac:dyDescent="0.25">
      <c r="B636" s="72"/>
      <c r="C636" s="73"/>
    </row>
    <row r="637" spans="2:3" x14ac:dyDescent="0.25">
      <c r="B637" s="72"/>
      <c r="C637" s="73"/>
    </row>
    <row r="638" spans="2:3" x14ac:dyDescent="0.25">
      <c r="B638" s="72"/>
      <c r="C638" s="73"/>
    </row>
    <row r="639" spans="2:3" x14ac:dyDescent="0.25">
      <c r="B639" s="72"/>
      <c r="C639" s="73"/>
    </row>
    <row r="640" spans="2:3" x14ac:dyDescent="0.25">
      <c r="B640" s="72"/>
      <c r="C640" s="73"/>
    </row>
    <row r="641" spans="2:3" x14ac:dyDescent="0.25">
      <c r="B641" s="72"/>
      <c r="C641" s="73"/>
    </row>
    <row r="642" spans="2:3" x14ac:dyDescent="0.25">
      <c r="B642" s="72"/>
      <c r="C642" s="73"/>
    </row>
    <row r="643" spans="2:3" x14ac:dyDescent="0.25">
      <c r="B643" s="72"/>
      <c r="C643" s="73"/>
    </row>
    <row r="644" spans="2:3" x14ac:dyDescent="0.25">
      <c r="B644" s="72"/>
      <c r="C644" s="73"/>
    </row>
    <row r="645" spans="2:3" x14ac:dyDescent="0.25">
      <c r="B645" s="72"/>
      <c r="C645" s="73"/>
    </row>
    <row r="646" spans="2:3" x14ac:dyDescent="0.25">
      <c r="B646" s="72"/>
      <c r="C646" s="73"/>
    </row>
    <row r="647" spans="2:3" x14ac:dyDescent="0.25">
      <c r="B647" s="72"/>
      <c r="C647" s="73"/>
    </row>
    <row r="648" spans="2:3" x14ac:dyDescent="0.25">
      <c r="B648" s="72"/>
      <c r="C648" s="73"/>
    </row>
    <row r="649" spans="2:3" x14ac:dyDescent="0.25">
      <c r="B649" s="72"/>
      <c r="C649" s="73"/>
    </row>
    <row r="650" spans="2:3" x14ac:dyDescent="0.25">
      <c r="B650" s="72"/>
      <c r="C650" s="73"/>
    </row>
    <row r="651" spans="2:3" x14ac:dyDescent="0.25">
      <c r="B651" s="72"/>
      <c r="C651" s="73"/>
    </row>
    <row r="652" spans="2:3" x14ac:dyDescent="0.25">
      <c r="B652" s="72"/>
      <c r="C652" s="73"/>
    </row>
    <row r="653" spans="2:3" x14ac:dyDescent="0.25">
      <c r="B653" s="72"/>
      <c r="C653" s="73"/>
    </row>
    <row r="654" spans="2:3" x14ac:dyDescent="0.25">
      <c r="B654" s="72"/>
      <c r="C654" s="73"/>
    </row>
    <row r="655" spans="2:3" x14ac:dyDescent="0.25">
      <c r="B655" s="72"/>
      <c r="C655" s="73"/>
    </row>
    <row r="656" spans="2:3" x14ac:dyDescent="0.25">
      <c r="B656" s="72"/>
      <c r="C656" s="73"/>
    </row>
    <row r="657" spans="2:3" x14ac:dyDescent="0.25">
      <c r="B657" s="72"/>
      <c r="C657" s="73"/>
    </row>
    <row r="658" spans="2:3" x14ac:dyDescent="0.25">
      <c r="B658" s="72"/>
      <c r="C658" s="73"/>
    </row>
    <row r="659" spans="2:3" x14ac:dyDescent="0.25">
      <c r="B659" s="72"/>
      <c r="C659" s="73"/>
    </row>
    <row r="660" spans="2:3" x14ac:dyDescent="0.25">
      <c r="B660" s="72"/>
      <c r="C660" s="73"/>
    </row>
    <row r="661" spans="2:3" x14ac:dyDescent="0.25">
      <c r="B661" s="72"/>
      <c r="C661" s="73"/>
    </row>
    <row r="662" spans="2:3" x14ac:dyDescent="0.25">
      <c r="B662" s="72"/>
      <c r="C662" s="73"/>
    </row>
    <row r="663" spans="2:3" x14ac:dyDescent="0.25">
      <c r="B663" s="72"/>
      <c r="C663" s="73"/>
    </row>
    <row r="664" spans="2:3" x14ac:dyDescent="0.25">
      <c r="B664" s="72"/>
      <c r="C664" s="73"/>
    </row>
    <row r="665" spans="2:3" x14ac:dyDescent="0.25">
      <c r="B665" s="72"/>
      <c r="C665" s="73"/>
    </row>
    <row r="666" spans="2:3" x14ac:dyDescent="0.25">
      <c r="B666" s="72"/>
      <c r="C666" s="73"/>
    </row>
    <row r="667" spans="2:3" x14ac:dyDescent="0.25">
      <c r="B667" s="72"/>
      <c r="C667" s="73"/>
    </row>
    <row r="668" spans="2:3" x14ac:dyDescent="0.25">
      <c r="B668" s="72"/>
      <c r="C668" s="73"/>
    </row>
    <row r="669" spans="2:3" x14ac:dyDescent="0.25">
      <c r="B669" s="72"/>
      <c r="C669" s="73"/>
    </row>
    <row r="670" spans="2:3" x14ac:dyDescent="0.25">
      <c r="B670" s="72"/>
      <c r="C670" s="73"/>
    </row>
    <row r="671" spans="2:3" x14ac:dyDescent="0.25">
      <c r="B671" s="72"/>
      <c r="C671" s="73"/>
    </row>
    <row r="672" spans="2:3" x14ac:dyDescent="0.25">
      <c r="B672" s="72"/>
      <c r="C672" s="73"/>
    </row>
    <row r="673" spans="2:3" x14ac:dyDescent="0.25">
      <c r="B673" s="72"/>
      <c r="C673" s="73"/>
    </row>
    <row r="674" spans="2:3" x14ac:dyDescent="0.25">
      <c r="B674" s="72"/>
      <c r="C674" s="73"/>
    </row>
    <row r="675" spans="2:3" x14ac:dyDescent="0.25">
      <c r="B675" s="72"/>
      <c r="C675" s="73"/>
    </row>
    <row r="676" spans="2:3" x14ac:dyDescent="0.25">
      <c r="B676" s="72"/>
      <c r="C676" s="73"/>
    </row>
    <row r="677" spans="2:3" x14ac:dyDescent="0.25">
      <c r="B677" s="72"/>
      <c r="C677" s="73"/>
    </row>
    <row r="678" spans="2:3" x14ac:dyDescent="0.25">
      <c r="B678" s="72"/>
      <c r="C678" s="73"/>
    </row>
    <row r="679" spans="2:3" x14ac:dyDescent="0.25">
      <c r="B679" s="72"/>
      <c r="C679" s="73"/>
    </row>
    <row r="680" spans="2:3" x14ac:dyDescent="0.25">
      <c r="B680" s="72"/>
      <c r="C680" s="73"/>
    </row>
    <row r="681" spans="2:3" x14ac:dyDescent="0.25">
      <c r="B681" s="72"/>
      <c r="C681" s="73"/>
    </row>
    <row r="682" spans="2:3" x14ac:dyDescent="0.25">
      <c r="B682" s="72"/>
      <c r="C682" s="73"/>
    </row>
    <row r="683" spans="2:3" x14ac:dyDescent="0.25">
      <c r="B683" s="72"/>
      <c r="C683" s="73"/>
    </row>
    <row r="684" spans="2:3" x14ac:dyDescent="0.25">
      <c r="B684" s="72"/>
      <c r="C684" s="73"/>
    </row>
    <row r="685" spans="2:3" x14ac:dyDescent="0.25">
      <c r="B685" s="72"/>
      <c r="C685" s="73"/>
    </row>
    <row r="686" spans="2:3" x14ac:dyDescent="0.25">
      <c r="B686" s="72"/>
      <c r="C686" s="73"/>
    </row>
    <row r="687" spans="2:3" x14ac:dyDescent="0.25">
      <c r="B687" s="72"/>
      <c r="C687" s="73"/>
    </row>
    <row r="688" spans="2:3" x14ac:dyDescent="0.25">
      <c r="B688" s="72"/>
      <c r="C688" s="73"/>
    </row>
    <row r="689" spans="2:3" x14ac:dyDescent="0.25">
      <c r="B689" s="72"/>
      <c r="C689" s="73"/>
    </row>
    <row r="690" spans="2:3" x14ac:dyDescent="0.25">
      <c r="B690" s="72"/>
      <c r="C690" s="73"/>
    </row>
    <row r="691" spans="2:3" x14ac:dyDescent="0.25">
      <c r="B691" s="72"/>
      <c r="C691" s="73"/>
    </row>
    <row r="692" spans="2:3" x14ac:dyDescent="0.25">
      <c r="B692" s="72"/>
      <c r="C692" s="73"/>
    </row>
    <row r="693" spans="2:3" x14ac:dyDescent="0.25">
      <c r="B693" s="72"/>
      <c r="C693" s="73"/>
    </row>
    <row r="694" spans="2:3" x14ac:dyDescent="0.25">
      <c r="B694" s="72"/>
      <c r="C694" s="73"/>
    </row>
    <row r="695" spans="2:3" x14ac:dyDescent="0.25">
      <c r="B695" s="72"/>
      <c r="C695" s="73"/>
    </row>
    <row r="696" spans="2:3" x14ac:dyDescent="0.25">
      <c r="B696" s="72"/>
      <c r="C696" s="73"/>
    </row>
    <row r="697" spans="2:3" x14ac:dyDescent="0.25">
      <c r="B697" s="72"/>
      <c r="C697" s="73"/>
    </row>
    <row r="698" spans="2:3" x14ac:dyDescent="0.25">
      <c r="B698" s="72"/>
      <c r="C698" s="73"/>
    </row>
    <row r="699" spans="2:3" x14ac:dyDescent="0.25">
      <c r="B699" s="72"/>
      <c r="C699" s="73"/>
    </row>
    <row r="700" spans="2:3" x14ac:dyDescent="0.25">
      <c r="B700" s="72"/>
      <c r="C700" s="73"/>
    </row>
    <row r="701" spans="2:3" x14ac:dyDescent="0.25">
      <c r="B701" s="72"/>
      <c r="C701" s="73"/>
    </row>
    <row r="702" spans="2:3" x14ac:dyDescent="0.25">
      <c r="B702" s="72"/>
      <c r="C702" s="73"/>
    </row>
    <row r="703" spans="2:3" x14ac:dyDescent="0.25">
      <c r="B703" s="72"/>
      <c r="C703" s="73"/>
    </row>
    <row r="704" spans="2:3" x14ac:dyDescent="0.25">
      <c r="B704" s="72"/>
      <c r="C704" s="73"/>
    </row>
    <row r="705" spans="2:3" x14ac:dyDescent="0.25">
      <c r="B705" s="72"/>
      <c r="C705" s="73"/>
    </row>
    <row r="706" spans="2:3" x14ac:dyDescent="0.25">
      <c r="B706" s="72"/>
      <c r="C706" s="73"/>
    </row>
    <row r="707" spans="2:3" x14ac:dyDescent="0.25">
      <c r="B707" s="72"/>
      <c r="C707" s="73"/>
    </row>
    <row r="708" spans="2:3" x14ac:dyDescent="0.25">
      <c r="B708" s="72"/>
      <c r="C708" s="73"/>
    </row>
    <row r="709" spans="2:3" x14ac:dyDescent="0.25">
      <c r="B709" s="72"/>
      <c r="C709" s="73"/>
    </row>
    <row r="710" spans="2:3" x14ac:dyDescent="0.25">
      <c r="B710" s="72"/>
      <c r="C710" s="73"/>
    </row>
    <row r="711" spans="2:3" x14ac:dyDescent="0.25">
      <c r="B711" s="72"/>
      <c r="C711" s="73"/>
    </row>
    <row r="712" spans="2:3" x14ac:dyDescent="0.25">
      <c r="B712" s="72"/>
      <c r="C712" s="73"/>
    </row>
    <row r="713" spans="2:3" x14ac:dyDescent="0.25">
      <c r="B713" s="72"/>
      <c r="C713" s="73"/>
    </row>
    <row r="714" spans="2:3" x14ac:dyDescent="0.25">
      <c r="B714" s="72"/>
      <c r="C714" s="73"/>
    </row>
    <row r="715" spans="2:3" x14ac:dyDescent="0.25">
      <c r="B715" s="72"/>
      <c r="C715" s="73"/>
    </row>
    <row r="716" spans="2:3" x14ac:dyDescent="0.25">
      <c r="B716" s="72"/>
      <c r="C716" s="73"/>
    </row>
    <row r="717" spans="2:3" x14ac:dyDescent="0.25">
      <c r="B717" s="72"/>
      <c r="C717" s="73"/>
    </row>
    <row r="718" spans="2:3" x14ac:dyDescent="0.25">
      <c r="B718" s="72"/>
      <c r="C718" s="73"/>
    </row>
    <row r="719" spans="2:3" x14ac:dyDescent="0.25">
      <c r="B719" s="72"/>
      <c r="C719" s="73"/>
    </row>
    <row r="720" spans="2:3" x14ac:dyDescent="0.25">
      <c r="B720" s="72"/>
      <c r="C720" s="73"/>
    </row>
    <row r="721" spans="2:3" x14ac:dyDescent="0.25">
      <c r="B721" s="72"/>
      <c r="C721" s="73"/>
    </row>
    <row r="722" spans="2:3" x14ac:dyDescent="0.25">
      <c r="B722" s="72"/>
      <c r="C722" s="73"/>
    </row>
    <row r="723" spans="2:3" x14ac:dyDescent="0.25">
      <c r="B723" s="72"/>
      <c r="C723" s="73"/>
    </row>
    <row r="724" spans="2:3" x14ac:dyDescent="0.25">
      <c r="B724" s="72"/>
      <c r="C724" s="73"/>
    </row>
    <row r="725" spans="2:3" x14ac:dyDescent="0.25">
      <c r="B725" s="72"/>
      <c r="C725" s="73"/>
    </row>
    <row r="726" spans="2:3" x14ac:dyDescent="0.25">
      <c r="B726" s="72"/>
      <c r="C726" s="73"/>
    </row>
    <row r="727" spans="2:3" x14ac:dyDescent="0.25">
      <c r="B727" s="72"/>
    </row>
    <row r="728" spans="2:3" x14ac:dyDescent="0.25">
      <c r="B728" s="72"/>
    </row>
    <row r="729" spans="2:3" x14ac:dyDescent="0.25">
      <c r="B729" s="72"/>
    </row>
    <row r="730" spans="2:3" x14ac:dyDescent="0.25">
      <c r="B730" s="72"/>
    </row>
    <row r="731" spans="2:3" x14ac:dyDescent="0.25">
      <c r="B731" s="72"/>
    </row>
    <row r="732" spans="2:3" x14ac:dyDescent="0.25">
      <c r="B732" s="72"/>
    </row>
    <row r="733" spans="2:3" x14ac:dyDescent="0.25">
      <c r="B733" s="72"/>
    </row>
    <row r="734" spans="2:3" x14ac:dyDescent="0.25">
      <c r="B734" s="72"/>
    </row>
    <row r="735" spans="2:3" x14ac:dyDescent="0.25">
      <c r="B735" s="72"/>
    </row>
    <row r="736" spans="2:3" x14ac:dyDescent="0.25">
      <c r="B736" s="72"/>
    </row>
    <row r="737" spans="2:2" x14ac:dyDescent="0.25">
      <c r="B737" s="72"/>
    </row>
    <row r="738" spans="2:2" x14ac:dyDescent="0.25">
      <c r="B738" s="72"/>
    </row>
    <row r="739" spans="2:2" x14ac:dyDescent="0.25">
      <c r="B739" s="72"/>
    </row>
    <row r="740" spans="2:2" x14ac:dyDescent="0.25">
      <c r="B740" s="72"/>
    </row>
  </sheetData>
  <mergeCells count="21">
    <mergeCell ref="A15:A16"/>
    <mergeCell ref="A10:C10"/>
    <mergeCell ref="A11:C11"/>
    <mergeCell ref="A12:C12"/>
    <mergeCell ref="A13:C13"/>
    <mergeCell ref="A14:B14"/>
    <mergeCell ref="F318:G319"/>
    <mergeCell ref="B15:B16"/>
    <mergeCell ref="B311:C311"/>
    <mergeCell ref="B306:C306"/>
    <mergeCell ref="B307:C307"/>
    <mergeCell ref="B318:B319"/>
    <mergeCell ref="C319:C320"/>
    <mergeCell ref="D319:D320"/>
    <mergeCell ref="E319:E320"/>
    <mergeCell ref="B313:C313"/>
    <mergeCell ref="B309:C309"/>
    <mergeCell ref="B312:C312"/>
    <mergeCell ref="C15:C16"/>
    <mergeCell ref="B308:C308"/>
    <mergeCell ref="C318:E318"/>
  </mergeCells>
  <phoneticPr fontId="16" type="noConversion"/>
  <pageMargins left="0.28000000000000003" right="0.46" top="0.52" bottom="0.98425196850393704" header="0" footer="0"/>
  <pageSetup paperSize="9" scale="4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zoomScaleNormal="100" workbookViewId="0">
      <selection activeCell="D4" sqref="D4"/>
    </sheetView>
  </sheetViews>
  <sheetFormatPr baseColWidth="10" defaultColWidth="15.6640625" defaultRowHeight="10.199999999999999" x14ac:dyDescent="0.2"/>
  <cols>
    <col min="1" max="1" width="12.6640625" style="135" customWidth="1"/>
    <col min="2" max="2" width="19.33203125" style="153" customWidth="1"/>
    <col min="3" max="3" width="14.44140625" style="135" customWidth="1"/>
    <col min="4" max="7" width="12.6640625" style="135" customWidth="1"/>
    <col min="8" max="16384" width="15.6640625" style="135"/>
  </cols>
  <sheetData>
    <row r="1" spans="1:9" x14ac:dyDescent="0.2">
      <c r="A1" s="132" t="s">
        <v>0</v>
      </c>
      <c r="B1" s="133"/>
      <c r="C1" s="134">
        <f>Primarios!C1</f>
        <v>0</v>
      </c>
    </row>
    <row r="2" spans="1:9" x14ac:dyDescent="0.2">
      <c r="A2" s="132" t="s">
        <v>1</v>
      </c>
      <c r="B2" s="133"/>
      <c r="C2" s="134">
        <f>Primarios!C2</f>
        <v>0</v>
      </c>
      <c r="F2" s="136"/>
      <c r="G2" s="155" t="s">
        <v>112</v>
      </c>
    </row>
    <row r="3" spans="1:9" x14ac:dyDescent="0.2">
      <c r="A3" s="132" t="s">
        <v>2</v>
      </c>
      <c r="B3" s="133"/>
      <c r="C3" s="134">
        <f>Primarios!C3</f>
        <v>0</v>
      </c>
      <c r="F3" s="137"/>
      <c r="G3" s="135" t="s">
        <v>111</v>
      </c>
    </row>
    <row r="4" spans="1:9" x14ac:dyDescent="0.2">
      <c r="A4" s="132" t="s">
        <v>6</v>
      </c>
      <c r="B4" s="133"/>
      <c r="C4" s="134">
        <f>Primarios!C4</f>
        <v>0</v>
      </c>
    </row>
    <row r="5" spans="1:9" x14ac:dyDescent="0.2">
      <c r="A5" s="138"/>
      <c r="B5" s="139"/>
      <c r="C5" s="134" t="str">
        <f>Primarios!C5</f>
        <v>Posición 1</v>
      </c>
    </row>
    <row r="6" spans="1:9" ht="10.8" thickBot="1" x14ac:dyDescent="0.25">
      <c r="A6" s="140" t="s">
        <v>3</v>
      </c>
      <c r="B6" s="141" t="s">
        <v>8</v>
      </c>
      <c r="C6" s="142" t="s">
        <v>9</v>
      </c>
    </row>
    <row r="7" spans="1:9" ht="14.4" x14ac:dyDescent="0.3">
      <c r="A7" s="143">
        <v>1</v>
      </c>
      <c r="B7" s="144"/>
      <c r="C7" s="145"/>
      <c r="D7" s="146"/>
      <c r="E7" s="147"/>
      <c r="G7" s="148"/>
    </row>
    <row r="8" spans="1:9" ht="14.4" x14ac:dyDescent="0.3">
      <c r="A8" s="143">
        <v>2</v>
      </c>
      <c r="B8" s="144"/>
      <c r="C8" s="154"/>
      <c r="D8" s="146"/>
      <c r="E8" s="147"/>
      <c r="G8" s="148"/>
      <c r="H8" s="149"/>
      <c r="I8" s="150"/>
    </row>
    <row r="9" spans="1:9" ht="14.4" x14ac:dyDescent="0.3">
      <c r="A9" s="143">
        <v>3</v>
      </c>
      <c r="B9" s="144"/>
      <c r="C9" s="154"/>
      <c r="D9" s="146"/>
      <c r="E9" s="147"/>
      <c r="G9" s="148"/>
      <c r="H9" s="149"/>
      <c r="I9" s="150"/>
    </row>
    <row r="10" spans="1:9" ht="14.4" x14ac:dyDescent="0.3">
      <c r="A10" s="143">
        <v>4</v>
      </c>
      <c r="B10" s="144"/>
      <c r="C10" s="154"/>
      <c r="D10" s="146"/>
      <c r="E10" s="147"/>
      <c r="G10" s="148"/>
      <c r="H10" s="149"/>
      <c r="I10" s="150"/>
    </row>
    <row r="11" spans="1:9" ht="14.4" x14ac:dyDescent="0.3">
      <c r="A11" s="143">
        <v>5</v>
      </c>
      <c r="B11" s="144"/>
      <c r="C11" s="154"/>
      <c r="D11" s="146"/>
      <c r="E11" s="147"/>
      <c r="G11" s="148"/>
      <c r="H11" s="149"/>
      <c r="I11" s="150"/>
    </row>
    <row r="12" spans="1:9" ht="14.4" x14ac:dyDescent="0.3">
      <c r="A12" s="143">
        <v>6</v>
      </c>
      <c r="B12" s="144"/>
      <c r="C12" s="154"/>
      <c r="D12" s="146"/>
      <c r="E12" s="147"/>
      <c r="G12" s="148"/>
      <c r="H12" s="149"/>
      <c r="I12" s="150"/>
    </row>
    <row r="13" spans="1:9" ht="14.4" x14ac:dyDescent="0.3">
      <c r="A13" s="143">
        <v>7</v>
      </c>
      <c r="B13" s="144"/>
      <c r="C13" s="154"/>
      <c r="D13" s="146"/>
      <c r="E13" s="147"/>
      <c r="G13" s="148"/>
      <c r="H13" s="149"/>
      <c r="I13" s="150"/>
    </row>
    <row r="14" spans="1:9" ht="14.4" x14ac:dyDescent="0.3">
      <c r="A14" s="143">
        <v>8</v>
      </c>
      <c r="B14" s="144"/>
      <c r="C14" s="154"/>
      <c r="D14" s="146"/>
      <c r="E14" s="147"/>
      <c r="G14" s="148"/>
      <c r="H14" s="149"/>
      <c r="I14" s="150"/>
    </row>
    <row r="15" spans="1:9" ht="14.4" x14ac:dyDescent="0.3">
      <c r="A15" s="143">
        <v>9</v>
      </c>
      <c r="B15" s="144"/>
      <c r="C15" s="154"/>
      <c r="D15" s="146"/>
      <c r="E15" s="147"/>
      <c r="G15" s="148"/>
      <c r="H15" s="149"/>
      <c r="I15" s="150"/>
    </row>
    <row r="16" spans="1:9" ht="14.4" x14ac:dyDescent="0.3">
      <c r="A16" s="143">
        <v>10</v>
      </c>
      <c r="B16" s="144"/>
      <c r="C16" s="154"/>
      <c r="D16" s="146"/>
      <c r="E16" s="147"/>
      <c r="G16" s="148"/>
      <c r="H16" s="149"/>
      <c r="I16" s="150"/>
    </row>
    <row r="17" spans="1:9" ht="14.4" x14ac:dyDescent="0.3">
      <c r="A17" s="143">
        <v>11</v>
      </c>
      <c r="B17" s="144"/>
      <c r="C17" s="154"/>
      <c r="D17" s="146"/>
      <c r="E17" s="147"/>
      <c r="G17" s="148"/>
      <c r="H17" s="149"/>
      <c r="I17" s="150"/>
    </row>
    <row r="18" spans="1:9" ht="14.4" x14ac:dyDescent="0.3">
      <c r="A18" s="143">
        <v>12</v>
      </c>
      <c r="B18" s="144"/>
      <c r="C18" s="154"/>
      <c r="D18" s="146"/>
      <c r="E18" s="147"/>
      <c r="G18" s="148"/>
      <c r="H18" s="149"/>
      <c r="I18" s="150"/>
    </row>
    <row r="19" spans="1:9" ht="14.4" x14ac:dyDescent="0.3">
      <c r="A19" s="143">
        <v>13</v>
      </c>
      <c r="B19" s="144"/>
      <c r="C19" s="154"/>
      <c r="D19" s="146"/>
      <c r="E19" s="147"/>
      <c r="G19" s="148"/>
      <c r="H19" s="149"/>
      <c r="I19" s="150"/>
    </row>
    <row r="20" spans="1:9" ht="14.4" x14ac:dyDescent="0.3">
      <c r="A20" s="143">
        <v>14</v>
      </c>
      <c r="B20" s="144"/>
      <c r="C20" s="154"/>
      <c r="D20" s="146"/>
      <c r="E20" s="147"/>
      <c r="G20" s="148"/>
      <c r="H20" s="149"/>
      <c r="I20" s="150"/>
    </row>
    <row r="21" spans="1:9" ht="14.4" x14ac:dyDescent="0.3">
      <c r="A21" s="143">
        <v>15</v>
      </c>
      <c r="B21" s="144"/>
      <c r="C21" s="154"/>
      <c r="D21" s="146"/>
      <c r="E21" s="147"/>
      <c r="G21" s="148"/>
      <c r="H21" s="149"/>
      <c r="I21" s="150"/>
    </row>
    <row r="22" spans="1:9" ht="14.4" x14ac:dyDescent="0.3">
      <c r="A22" s="143">
        <v>16</v>
      </c>
      <c r="B22" s="144"/>
      <c r="C22" s="154"/>
      <c r="D22" s="146"/>
      <c r="E22" s="147"/>
      <c r="G22" s="148"/>
      <c r="H22" s="149"/>
      <c r="I22" s="150"/>
    </row>
    <row r="23" spans="1:9" ht="14.4" x14ac:dyDescent="0.3">
      <c r="A23" s="143">
        <v>17</v>
      </c>
      <c r="B23" s="144"/>
      <c r="C23" s="154"/>
      <c r="D23" s="146"/>
      <c r="E23" s="147"/>
      <c r="G23" s="148"/>
      <c r="H23" s="149"/>
      <c r="I23" s="150"/>
    </row>
    <row r="24" spans="1:9" ht="14.4" x14ac:dyDescent="0.3">
      <c r="A24" s="143">
        <v>18</v>
      </c>
      <c r="B24" s="144"/>
      <c r="C24" s="154"/>
      <c r="D24" s="146"/>
      <c r="E24" s="147"/>
      <c r="G24" s="148"/>
    </row>
    <row r="25" spans="1:9" ht="14.4" x14ac:dyDescent="0.3">
      <c r="A25" s="143">
        <v>19</v>
      </c>
      <c r="B25" s="144"/>
      <c r="C25" s="154"/>
      <c r="D25" s="146"/>
      <c r="E25" s="147"/>
      <c r="G25" s="148"/>
    </row>
    <row r="26" spans="1:9" ht="14.4" x14ac:dyDescent="0.3">
      <c r="A26" s="143">
        <v>20</v>
      </c>
      <c r="B26" s="144"/>
      <c r="C26" s="154"/>
      <c r="D26" s="146"/>
      <c r="E26" s="147"/>
      <c r="G26" s="148"/>
    </row>
    <row r="27" spans="1:9" ht="14.4" x14ac:dyDescent="0.3">
      <c r="A27" s="143">
        <v>21</v>
      </c>
      <c r="B27" s="144"/>
      <c r="C27" s="154"/>
      <c r="D27" s="146"/>
      <c r="E27" s="147"/>
      <c r="G27" s="148"/>
    </row>
    <row r="28" spans="1:9" ht="14.4" x14ac:dyDescent="0.3">
      <c r="A28" s="143">
        <v>22</v>
      </c>
      <c r="B28" s="144"/>
      <c r="C28" s="154"/>
      <c r="D28" s="146"/>
      <c r="E28" s="147"/>
      <c r="G28" s="148"/>
    </row>
    <row r="29" spans="1:9" ht="14.4" x14ac:dyDescent="0.3">
      <c r="A29" s="143">
        <v>23</v>
      </c>
      <c r="B29" s="144"/>
      <c r="C29" s="154"/>
      <c r="D29" s="146"/>
      <c r="E29" s="147"/>
      <c r="G29" s="148"/>
    </row>
    <row r="30" spans="1:9" ht="14.4" x14ac:dyDescent="0.3">
      <c r="A30" s="143">
        <v>24</v>
      </c>
      <c r="B30" s="144"/>
      <c r="C30" s="154"/>
      <c r="D30" s="146"/>
      <c r="E30" s="147"/>
      <c r="G30" s="148"/>
    </row>
    <row r="31" spans="1:9" ht="14.4" x14ac:dyDescent="0.3">
      <c r="A31" s="143">
        <v>25</v>
      </c>
      <c r="B31" s="144"/>
      <c r="C31" s="154"/>
      <c r="D31" s="146"/>
      <c r="E31" s="147"/>
      <c r="G31" s="148"/>
    </row>
    <row r="32" spans="1:9" ht="14.4" x14ac:dyDescent="0.3">
      <c r="A32" s="143">
        <v>26</v>
      </c>
      <c r="B32" s="144"/>
      <c r="C32" s="154"/>
      <c r="D32" s="146"/>
      <c r="E32" s="147"/>
      <c r="G32" s="148"/>
    </row>
    <row r="33" spans="1:7" ht="14.4" x14ac:dyDescent="0.3">
      <c r="A33" s="143">
        <v>27</v>
      </c>
      <c r="B33" s="144"/>
      <c r="C33" s="154"/>
      <c r="D33" s="146"/>
      <c r="E33" s="147"/>
      <c r="G33" s="148"/>
    </row>
    <row r="34" spans="1:7" ht="14.4" x14ac:dyDescent="0.3">
      <c r="A34" s="143">
        <v>28</v>
      </c>
      <c r="B34" s="144"/>
      <c r="C34" s="154"/>
      <c r="D34" s="146"/>
      <c r="E34" s="147"/>
      <c r="G34" s="148"/>
    </row>
    <row r="35" spans="1:7" ht="14.4" x14ac:dyDescent="0.3">
      <c r="A35" s="143">
        <v>29</v>
      </c>
      <c r="B35" s="144"/>
      <c r="C35" s="154"/>
      <c r="D35" s="146"/>
      <c r="E35" s="147"/>
      <c r="G35" s="148"/>
    </row>
    <row r="36" spans="1:7" ht="14.4" x14ac:dyDescent="0.3">
      <c r="A36" s="143">
        <v>30</v>
      </c>
      <c r="B36" s="144"/>
      <c r="C36" s="154"/>
      <c r="D36" s="146"/>
      <c r="E36" s="147"/>
      <c r="G36" s="148"/>
    </row>
    <row r="37" spans="1:7" ht="14.4" x14ac:dyDescent="0.3">
      <c r="A37" s="143">
        <v>31</v>
      </c>
      <c r="B37" s="151"/>
      <c r="C37" s="154"/>
      <c r="D37" s="146"/>
      <c r="E37" s="147"/>
      <c r="G37" s="148"/>
    </row>
    <row r="38" spans="1:7" ht="14.4" x14ac:dyDescent="0.3">
      <c r="A38" s="143">
        <v>32</v>
      </c>
      <c r="B38" s="151"/>
      <c r="C38" s="154"/>
      <c r="D38" s="146"/>
      <c r="E38" s="147"/>
      <c r="G38" s="148"/>
    </row>
    <row r="39" spans="1:7" ht="14.4" x14ac:dyDescent="0.3">
      <c r="A39" s="143">
        <v>33</v>
      </c>
      <c r="B39" s="151"/>
      <c r="C39" s="154"/>
      <c r="D39" s="146"/>
      <c r="E39" s="147"/>
      <c r="G39" s="148"/>
    </row>
    <row r="40" spans="1:7" ht="14.4" x14ac:dyDescent="0.3">
      <c r="A40" s="143">
        <v>34</v>
      </c>
      <c r="B40" s="151"/>
      <c r="C40" s="154"/>
      <c r="D40" s="146"/>
      <c r="E40" s="147"/>
      <c r="G40" s="148"/>
    </row>
    <row r="41" spans="1:7" ht="14.4" x14ac:dyDescent="0.3">
      <c r="A41" s="143">
        <v>35</v>
      </c>
      <c r="B41" s="151"/>
      <c r="C41" s="154"/>
      <c r="D41" s="146"/>
      <c r="E41" s="147"/>
      <c r="G41" s="148"/>
    </row>
    <row r="42" spans="1:7" ht="14.4" x14ac:dyDescent="0.3">
      <c r="A42" s="143">
        <v>36</v>
      </c>
      <c r="B42" s="151"/>
      <c r="C42" s="154"/>
      <c r="D42" s="146"/>
      <c r="E42" s="147"/>
      <c r="G42" s="148"/>
    </row>
    <row r="43" spans="1:7" ht="14.4" x14ac:dyDescent="0.3">
      <c r="A43" s="143">
        <v>37</v>
      </c>
      <c r="B43" s="151"/>
      <c r="C43" s="154"/>
      <c r="D43" s="146"/>
      <c r="E43" s="147"/>
      <c r="G43" s="148"/>
    </row>
    <row r="44" spans="1:7" ht="14.4" x14ac:dyDescent="0.3">
      <c r="A44" s="143">
        <v>38</v>
      </c>
      <c r="B44" s="151"/>
      <c r="C44" s="154"/>
      <c r="D44" s="146"/>
      <c r="E44" s="147"/>
      <c r="G44" s="148"/>
    </row>
    <row r="45" spans="1:7" ht="14.4" x14ac:dyDescent="0.3">
      <c r="A45" s="143">
        <v>39</v>
      </c>
      <c r="B45" s="151"/>
      <c r="C45" s="154"/>
      <c r="D45" s="146"/>
      <c r="E45" s="147"/>
      <c r="G45" s="148"/>
    </row>
    <row r="46" spans="1:7" ht="14.4" x14ac:dyDescent="0.3">
      <c r="A46" s="143">
        <v>40</v>
      </c>
      <c r="B46" s="151"/>
      <c r="C46" s="154"/>
      <c r="D46" s="146"/>
      <c r="E46" s="147"/>
      <c r="G46" s="148"/>
    </row>
    <row r="47" spans="1:7" ht="14.4" x14ac:dyDescent="0.3">
      <c r="A47" s="143">
        <v>41</v>
      </c>
      <c r="B47" s="151"/>
      <c r="C47" s="154"/>
      <c r="D47" s="146"/>
      <c r="E47" s="147"/>
      <c r="G47" s="148"/>
    </row>
    <row r="48" spans="1:7" ht="14.4" x14ac:dyDescent="0.3">
      <c r="A48" s="143">
        <v>42</v>
      </c>
      <c r="B48" s="151"/>
      <c r="C48" s="154"/>
      <c r="D48" s="146"/>
      <c r="E48" s="147"/>
      <c r="G48" s="148"/>
    </row>
    <row r="49" spans="1:7" ht="14.4" x14ac:dyDescent="0.3">
      <c r="A49" s="143">
        <v>43</v>
      </c>
      <c r="B49" s="151"/>
      <c r="C49" s="154"/>
      <c r="D49" s="146"/>
      <c r="E49" s="147"/>
      <c r="G49" s="148"/>
    </row>
    <row r="50" spans="1:7" ht="14.4" x14ac:dyDescent="0.3">
      <c r="A50" s="143">
        <v>44</v>
      </c>
      <c r="B50" s="151"/>
      <c r="C50" s="154"/>
      <c r="D50" s="146"/>
      <c r="E50" s="147"/>
      <c r="G50" s="148"/>
    </row>
    <row r="51" spans="1:7" ht="14.4" x14ac:dyDescent="0.3">
      <c r="A51" s="143">
        <v>45</v>
      </c>
      <c r="B51" s="151"/>
      <c r="C51" s="154"/>
      <c r="D51" s="146"/>
      <c r="E51" s="147"/>
      <c r="G51" s="148"/>
    </row>
    <row r="52" spans="1:7" ht="14.4" x14ac:dyDescent="0.3">
      <c r="A52" s="143">
        <v>46</v>
      </c>
      <c r="B52" s="151"/>
      <c r="C52" s="154"/>
      <c r="D52" s="146"/>
      <c r="G52" s="148"/>
    </row>
    <row r="53" spans="1:7" ht="14.4" x14ac:dyDescent="0.3">
      <c r="A53" s="143">
        <v>47</v>
      </c>
      <c r="B53" s="151"/>
      <c r="C53" s="154"/>
      <c r="D53" s="146"/>
      <c r="G53" s="148"/>
    </row>
    <row r="54" spans="1:7" ht="14.4" x14ac:dyDescent="0.3">
      <c r="A54" s="143">
        <v>48</v>
      </c>
      <c r="B54" s="151"/>
      <c r="C54" s="154"/>
      <c r="D54" s="146"/>
      <c r="G54" s="148"/>
    </row>
    <row r="55" spans="1:7" ht="14.4" x14ac:dyDescent="0.3">
      <c r="A55" s="143">
        <v>49</v>
      </c>
      <c r="B55" s="151"/>
      <c r="C55" s="154"/>
      <c r="D55" s="146"/>
      <c r="G55" s="148"/>
    </row>
    <row r="56" spans="1:7" ht="14.4" x14ac:dyDescent="0.3">
      <c r="A56" s="143">
        <v>50</v>
      </c>
      <c r="B56" s="151"/>
      <c r="C56" s="154"/>
      <c r="D56" s="146"/>
      <c r="G56" s="148"/>
    </row>
    <row r="57" spans="1:7" ht="14.4" x14ac:dyDescent="0.3">
      <c r="A57" s="143">
        <v>51</v>
      </c>
      <c r="B57" s="151"/>
      <c r="C57" s="154"/>
      <c r="D57" s="146"/>
      <c r="G57" s="148"/>
    </row>
    <row r="58" spans="1:7" ht="14.4" x14ac:dyDescent="0.3">
      <c r="A58" s="143">
        <v>52</v>
      </c>
      <c r="B58" s="151"/>
      <c r="C58" s="154"/>
      <c r="D58" s="146"/>
      <c r="G58" s="148"/>
    </row>
    <row r="59" spans="1:7" ht="14.4" x14ac:dyDescent="0.3">
      <c r="A59" s="143">
        <v>53</v>
      </c>
      <c r="B59" s="151"/>
      <c r="C59" s="154"/>
      <c r="D59" s="146"/>
      <c r="G59" s="148"/>
    </row>
    <row r="60" spans="1:7" ht="14.4" x14ac:dyDescent="0.3">
      <c r="A60" s="143">
        <v>54</v>
      </c>
      <c r="B60" s="151"/>
      <c r="C60" s="154"/>
      <c r="D60" s="146"/>
      <c r="G60" s="148"/>
    </row>
    <row r="61" spans="1:7" ht="14.4" x14ac:dyDescent="0.3">
      <c r="A61" s="143">
        <v>55</v>
      </c>
      <c r="B61" s="151"/>
      <c r="C61" s="154"/>
      <c r="D61" s="146"/>
      <c r="G61" s="148"/>
    </row>
    <row r="62" spans="1:7" ht="14.4" x14ac:dyDescent="0.3">
      <c r="A62" s="143">
        <v>56</v>
      </c>
      <c r="B62" s="151"/>
      <c r="C62" s="154"/>
      <c r="D62" s="146"/>
      <c r="G62" s="148"/>
    </row>
    <row r="63" spans="1:7" ht="14.4" x14ac:dyDescent="0.3">
      <c r="A63" s="143">
        <v>57</v>
      </c>
      <c r="B63" s="151"/>
      <c r="C63" s="145"/>
      <c r="D63" s="146"/>
    </row>
    <row r="64" spans="1:7" ht="14.4" x14ac:dyDescent="0.3">
      <c r="A64" s="143">
        <v>58</v>
      </c>
      <c r="B64" s="151"/>
      <c r="C64" s="145"/>
      <c r="D64" s="146"/>
    </row>
    <row r="65" spans="1:4" ht="14.4" x14ac:dyDescent="0.3">
      <c r="A65" s="143">
        <v>59</v>
      </c>
      <c r="B65" s="151"/>
      <c r="C65" s="145"/>
      <c r="D65" s="146"/>
    </row>
    <row r="66" spans="1:4" ht="14.4" x14ac:dyDescent="0.3">
      <c r="A66" s="143">
        <v>60</v>
      </c>
      <c r="B66" s="151"/>
      <c r="C66" s="145"/>
      <c r="D66" s="146"/>
    </row>
    <row r="67" spans="1:4" x14ac:dyDescent="0.2">
      <c r="B67" s="149"/>
      <c r="C67" s="152"/>
    </row>
    <row r="68" spans="1:4" x14ac:dyDescent="0.2">
      <c r="B68" s="149"/>
      <c r="C68" s="152"/>
    </row>
    <row r="69" spans="1:4" x14ac:dyDescent="0.2">
      <c r="B69" s="149"/>
      <c r="C69" s="152"/>
    </row>
    <row r="70" spans="1:4" x14ac:dyDescent="0.2">
      <c r="B70" s="149"/>
      <c r="C70" s="152"/>
    </row>
    <row r="71" spans="1:4" x14ac:dyDescent="0.2">
      <c r="B71" s="149"/>
      <c r="C71" s="152"/>
    </row>
    <row r="72" spans="1:4" x14ac:dyDescent="0.2">
      <c r="B72" s="149"/>
      <c r="C72" s="152"/>
    </row>
    <row r="73" spans="1:4" x14ac:dyDescent="0.2">
      <c r="B73" s="149"/>
      <c r="C73" s="152"/>
    </row>
    <row r="74" spans="1:4" x14ac:dyDescent="0.2">
      <c r="B74" s="149"/>
      <c r="C74" s="152"/>
    </row>
    <row r="75" spans="1:4" x14ac:dyDescent="0.2">
      <c r="B75" s="149"/>
      <c r="C75" s="152"/>
    </row>
    <row r="76" spans="1:4" x14ac:dyDescent="0.2">
      <c r="B76" s="149"/>
      <c r="C76" s="152"/>
    </row>
    <row r="77" spans="1:4" x14ac:dyDescent="0.2">
      <c r="B77" s="149"/>
      <c r="C77" s="152"/>
    </row>
    <row r="78" spans="1:4" x14ac:dyDescent="0.2">
      <c r="B78" s="149"/>
      <c r="C78" s="152"/>
    </row>
    <row r="79" spans="1:4" x14ac:dyDescent="0.2">
      <c r="B79" s="149"/>
      <c r="C79" s="152"/>
    </row>
    <row r="80" spans="1:4" x14ac:dyDescent="0.2">
      <c r="B80" s="149"/>
      <c r="C80" s="152"/>
    </row>
    <row r="81" spans="2:3" x14ac:dyDescent="0.2">
      <c r="B81" s="149"/>
      <c r="C81" s="152"/>
    </row>
    <row r="82" spans="2:3" x14ac:dyDescent="0.2">
      <c r="B82" s="149"/>
      <c r="C82" s="152"/>
    </row>
    <row r="83" spans="2:3" x14ac:dyDescent="0.2">
      <c r="B83" s="149"/>
      <c r="C83" s="152"/>
    </row>
    <row r="84" spans="2:3" x14ac:dyDescent="0.2">
      <c r="B84" s="149"/>
      <c r="C84" s="152"/>
    </row>
    <row r="85" spans="2:3" x14ac:dyDescent="0.2">
      <c r="B85" s="149"/>
      <c r="C85" s="152"/>
    </row>
    <row r="86" spans="2:3" x14ac:dyDescent="0.2">
      <c r="B86" s="149"/>
      <c r="C86" s="152"/>
    </row>
    <row r="87" spans="2:3" x14ac:dyDescent="0.2">
      <c r="B87" s="149"/>
      <c r="C87" s="152"/>
    </row>
    <row r="88" spans="2:3" x14ac:dyDescent="0.2">
      <c r="B88" s="149"/>
      <c r="C88" s="152"/>
    </row>
    <row r="89" spans="2:3" x14ac:dyDescent="0.2">
      <c r="B89" s="149"/>
      <c r="C89" s="152"/>
    </row>
    <row r="90" spans="2:3" x14ac:dyDescent="0.2">
      <c r="B90" s="149"/>
      <c r="C90" s="152"/>
    </row>
    <row r="91" spans="2:3" x14ac:dyDescent="0.2">
      <c r="B91" s="149"/>
      <c r="C91" s="152"/>
    </row>
    <row r="92" spans="2:3" x14ac:dyDescent="0.2">
      <c r="B92" s="149"/>
      <c r="C92" s="152"/>
    </row>
    <row r="93" spans="2:3" x14ac:dyDescent="0.2">
      <c r="B93" s="149"/>
      <c r="C93" s="152"/>
    </row>
    <row r="94" spans="2:3" x14ac:dyDescent="0.2">
      <c r="B94" s="149"/>
      <c r="C94" s="152"/>
    </row>
    <row r="95" spans="2:3" x14ac:dyDescent="0.2">
      <c r="B95" s="149"/>
      <c r="C95" s="152"/>
    </row>
    <row r="96" spans="2:3" x14ac:dyDescent="0.2">
      <c r="B96" s="149"/>
      <c r="C96" s="152"/>
    </row>
    <row r="97" spans="2:3" x14ac:dyDescent="0.2">
      <c r="B97" s="149"/>
      <c r="C97" s="152"/>
    </row>
    <row r="98" spans="2:3" x14ac:dyDescent="0.2">
      <c r="B98" s="149"/>
      <c r="C98" s="152"/>
    </row>
    <row r="99" spans="2:3" x14ac:dyDescent="0.2">
      <c r="B99" s="149"/>
      <c r="C99" s="152"/>
    </row>
    <row r="100" spans="2:3" x14ac:dyDescent="0.2">
      <c r="B100" s="149"/>
      <c r="C100" s="152"/>
    </row>
    <row r="101" spans="2:3" x14ac:dyDescent="0.2">
      <c r="B101" s="149"/>
      <c r="C101" s="152"/>
    </row>
    <row r="102" spans="2:3" x14ac:dyDescent="0.2">
      <c r="B102" s="149"/>
      <c r="C102" s="152"/>
    </row>
  </sheetData>
  <phoneticPr fontId="1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40"/>
  <sheetViews>
    <sheetView topLeftCell="A291" zoomScaleNormal="100" workbookViewId="0">
      <selection activeCell="A2" sqref="A2"/>
    </sheetView>
  </sheetViews>
  <sheetFormatPr baseColWidth="10" defaultColWidth="11.44140625" defaultRowHeight="10.199999999999999" x14ac:dyDescent="0.2"/>
  <cols>
    <col min="1" max="1" width="10.6640625" style="6" customWidth="1"/>
    <col min="2" max="2" width="12.109375" style="6" customWidth="1"/>
    <col min="3" max="3" width="17.33203125" style="33" customWidth="1"/>
    <col min="4" max="12" width="12.33203125" style="6" customWidth="1"/>
    <col min="13" max="16384" width="11.44140625" style="6"/>
  </cols>
  <sheetData>
    <row r="1" spans="1:12" s="34" customFormat="1" ht="18" x14ac:dyDescent="0.35">
      <c r="A1" s="75" t="s">
        <v>97</v>
      </c>
      <c r="B1" s="76"/>
      <c r="C1" s="74"/>
      <c r="D1" s="71"/>
      <c r="E1" s="71"/>
      <c r="F1" s="71"/>
      <c r="G1" s="71"/>
      <c r="H1" s="71"/>
      <c r="I1" s="71"/>
    </row>
    <row r="2" spans="1:12" s="34" customFormat="1" ht="13.5" customHeight="1" x14ac:dyDescent="0.25">
      <c r="A2" s="77"/>
      <c r="B2" s="76"/>
      <c r="C2" s="74"/>
      <c r="D2" s="71"/>
      <c r="E2" s="71"/>
      <c r="F2" s="71"/>
      <c r="G2" s="71"/>
      <c r="H2" s="71"/>
      <c r="I2" s="71"/>
    </row>
    <row r="3" spans="1:12" x14ac:dyDescent="0.2">
      <c r="A3" s="35" t="str">
        <f>Análisis!A2</f>
        <v xml:space="preserve">Empresa: </v>
      </c>
      <c r="C3" s="6">
        <f>Análisis!C2</f>
        <v>0</v>
      </c>
      <c r="D3" s="36"/>
      <c r="E3" s="37" t="s">
        <v>14</v>
      </c>
      <c r="G3" s="24">
        <f>C17</f>
        <v>0</v>
      </c>
      <c r="H3" s="38">
        <f>G3</f>
        <v>0</v>
      </c>
      <c r="I3" s="24"/>
    </row>
    <row r="4" spans="1:12" x14ac:dyDescent="0.2">
      <c r="A4" s="35" t="str">
        <f>Análisis!A3</f>
        <v xml:space="preserve">Marca: </v>
      </c>
      <c r="C4" s="6">
        <f>Análisis!C3</f>
        <v>0</v>
      </c>
      <c r="D4" s="36"/>
      <c r="E4" s="37" t="s">
        <v>15</v>
      </c>
      <c r="G4" s="24">
        <f>C305</f>
        <v>0</v>
      </c>
      <c r="H4" s="38">
        <f>G4</f>
        <v>0</v>
      </c>
      <c r="I4" s="24"/>
    </row>
    <row r="5" spans="1:12" x14ac:dyDescent="0.2">
      <c r="A5" s="35" t="str">
        <f>Análisis!A4</f>
        <v xml:space="preserve">Ubicación: </v>
      </c>
      <c r="C5" s="6">
        <f>Análisis!C4</f>
        <v>0</v>
      </c>
      <c r="D5" s="36"/>
      <c r="E5" s="35" t="s">
        <v>11</v>
      </c>
      <c r="G5" s="6">
        <f>COUNT(D17:I305)</f>
        <v>1734</v>
      </c>
    </row>
    <row r="6" spans="1:12" x14ac:dyDescent="0.2">
      <c r="A6" s="35" t="str">
        <f>Análisis!A5</f>
        <v>Código de interno:</v>
      </c>
      <c r="C6" s="6">
        <f>Análisis!C5</f>
        <v>0</v>
      </c>
      <c r="D6" s="36"/>
      <c r="E6" s="35" t="s">
        <v>12</v>
      </c>
      <c r="G6" s="39" t="s">
        <v>93</v>
      </c>
      <c r="H6" s="39"/>
      <c r="I6" s="39"/>
    </row>
    <row r="7" spans="1:12" x14ac:dyDescent="0.2">
      <c r="A7" s="35" t="str">
        <f>Análisis!A6</f>
        <v>Rango de temperatura:</v>
      </c>
      <c r="C7" s="40">
        <f>Análisis!D6</f>
        <v>0</v>
      </c>
      <c r="D7" s="36"/>
      <c r="E7" s="41" t="s">
        <v>13</v>
      </c>
      <c r="G7" s="42" t="s">
        <v>94</v>
      </c>
      <c r="H7" s="42"/>
      <c r="I7" s="42"/>
    </row>
    <row r="9" spans="1:12" x14ac:dyDescent="0.2">
      <c r="A9" s="43"/>
      <c r="B9" s="44"/>
      <c r="C9" s="45"/>
      <c r="D9" s="46"/>
      <c r="E9" s="47"/>
      <c r="F9" s="31"/>
    </row>
    <row r="10" spans="1:12" x14ac:dyDescent="0.2">
      <c r="A10" s="191" t="s">
        <v>0</v>
      </c>
      <c r="B10" s="192"/>
      <c r="C10" s="193"/>
      <c r="D10" s="48">
        <f>Primarios!M1</f>
        <v>0</v>
      </c>
      <c r="E10" s="48">
        <f>Primarios!N1</f>
        <v>0</v>
      </c>
      <c r="F10" s="48">
        <f>Primarios!O1</f>
        <v>0</v>
      </c>
      <c r="G10" s="48">
        <f>Primarios!P1</f>
        <v>0</v>
      </c>
      <c r="H10" s="48">
        <f>Primarios!Q1</f>
        <v>0</v>
      </c>
      <c r="I10" s="48">
        <f>Primarios!R1</f>
        <v>0</v>
      </c>
      <c r="J10" s="48">
        <f>Primarios!S1</f>
        <v>0</v>
      </c>
      <c r="K10" s="48">
        <f>Primarios!T1</f>
        <v>0</v>
      </c>
      <c r="L10" s="48">
        <f>Primarios!U1</f>
        <v>0</v>
      </c>
    </row>
    <row r="11" spans="1:12" x14ac:dyDescent="0.2">
      <c r="A11" s="191" t="s">
        <v>1</v>
      </c>
      <c r="B11" s="192"/>
      <c r="C11" s="193"/>
      <c r="D11" s="48">
        <f>Primarios!M2</f>
        <v>0</v>
      </c>
      <c r="E11" s="48">
        <f>Primarios!N2</f>
        <v>0</v>
      </c>
      <c r="F11" s="48">
        <f>Primarios!O2</f>
        <v>0</v>
      </c>
      <c r="G11" s="48">
        <f>Primarios!P2</f>
        <v>0</v>
      </c>
      <c r="H11" s="48">
        <f>Primarios!Q2</f>
        <v>0</v>
      </c>
      <c r="I11" s="48">
        <f>Primarios!R2</f>
        <v>0</v>
      </c>
      <c r="J11" s="48">
        <f>Primarios!S2</f>
        <v>0</v>
      </c>
      <c r="K11" s="48">
        <f>Primarios!T2</f>
        <v>0</v>
      </c>
      <c r="L11" s="48">
        <f>Primarios!U2</f>
        <v>0</v>
      </c>
    </row>
    <row r="12" spans="1:12" x14ac:dyDescent="0.2">
      <c r="A12" s="191" t="s">
        <v>2</v>
      </c>
      <c r="B12" s="192"/>
      <c r="C12" s="193"/>
      <c r="D12" s="48">
        <f>Primarios!M3</f>
        <v>0</v>
      </c>
      <c r="E12" s="48">
        <f>Primarios!N3</f>
        <v>0</v>
      </c>
      <c r="F12" s="48">
        <f>Primarios!O3</f>
        <v>0</v>
      </c>
      <c r="G12" s="48">
        <f>Primarios!P3</f>
        <v>0</v>
      </c>
      <c r="H12" s="48">
        <f>Primarios!Q3</f>
        <v>0</v>
      </c>
      <c r="I12" s="48">
        <f>Primarios!R3</f>
        <v>0</v>
      </c>
      <c r="J12" s="48">
        <f>Primarios!S3</f>
        <v>0</v>
      </c>
      <c r="K12" s="48">
        <f>Primarios!T3</f>
        <v>0</v>
      </c>
      <c r="L12" s="48">
        <f>Primarios!U3</f>
        <v>0</v>
      </c>
    </row>
    <row r="13" spans="1:12" x14ac:dyDescent="0.2">
      <c r="A13" s="191" t="s">
        <v>6</v>
      </c>
      <c r="B13" s="192"/>
      <c r="C13" s="193"/>
      <c r="D13" s="48">
        <f>Primarios!M4</f>
        <v>0</v>
      </c>
      <c r="E13" s="48">
        <f>Primarios!N4</f>
        <v>0</v>
      </c>
      <c r="F13" s="48">
        <f>Primarios!O4</f>
        <v>0</v>
      </c>
      <c r="G13" s="48">
        <f>Primarios!P4</f>
        <v>0</v>
      </c>
      <c r="H13" s="48">
        <f>Primarios!Q4</f>
        <v>0</v>
      </c>
      <c r="I13" s="48">
        <f>Primarios!R4</f>
        <v>0</v>
      </c>
      <c r="J13" s="48">
        <f>Primarios!S4</f>
        <v>0</v>
      </c>
      <c r="K13" s="48">
        <f>Primarios!T4</f>
        <v>0</v>
      </c>
      <c r="L13" s="48">
        <f>Primarios!U4</f>
        <v>0</v>
      </c>
    </row>
    <row r="14" spans="1:12" x14ac:dyDescent="0.2">
      <c r="A14" s="194" t="s">
        <v>10</v>
      </c>
      <c r="B14" s="195"/>
      <c r="C14" s="49"/>
      <c r="D14" s="48" t="str">
        <f>Primarios!M5</f>
        <v>Posición 1</v>
      </c>
      <c r="E14" s="48" t="str">
        <f>Primarios!N5</f>
        <v>Posición 2</v>
      </c>
      <c r="F14" s="48" t="str">
        <f>Primarios!O5</f>
        <v>Posición 3</v>
      </c>
      <c r="G14" s="48" t="str">
        <f>Primarios!P5</f>
        <v>Posición 4</v>
      </c>
      <c r="H14" s="48" t="str">
        <f>Primarios!Q5</f>
        <v>Posición 5</v>
      </c>
      <c r="I14" s="48" t="str">
        <f>Primarios!R5</f>
        <v>Posición 6</v>
      </c>
      <c r="J14" s="48" t="str">
        <f>Primarios!S5</f>
        <v>Posición 7</v>
      </c>
      <c r="K14" s="48" t="str">
        <f>Primarios!T5</f>
        <v>Posición 8</v>
      </c>
      <c r="L14" s="48" t="str">
        <f>Primarios!U5</f>
        <v>Posición 9</v>
      </c>
    </row>
    <row r="15" spans="1:12" x14ac:dyDescent="0.2">
      <c r="A15" s="189" t="s">
        <v>66</v>
      </c>
      <c r="B15" s="166" t="s">
        <v>3</v>
      </c>
      <c r="C15" s="182" t="s">
        <v>8</v>
      </c>
      <c r="D15" s="50" t="str">
        <f>Primarios!M6</f>
        <v>Humedad (% RH)</v>
      </c>
      <c r="E15" s="50" t="str">
        <f>Primarios!N6</f>
        <v>Humedad (% RH)</v>
      </c>
      <c r="F15" s="50" t="str">
        <f>Primarios!O6</f>
        <v>Humedad (% RH)</v>
      </c>
      <c r="G15" s="50" t="str">
        <f>Primarios!P6</f>
        <v>Humedad (% RH)</v>
      </c>
      <c r="H15" s="50" t="str">
        <f>Primarios!Q6</f>
        <v>Humedad (% RH)</v>
      </c>
      <c r="I15" s="50" t="str">
        <f>Primarios!R6</f>
        <v>Humedad (% RH)</v>
      </c>
      <c r="J15" s="50" t="str">
        <f>Primarios!S6</f>
        <v>Humedad (% RH)</v>
      </c>
      <c r="K15" s="50" t="str">
        <f>Primarios!T6</f>
        <v>Humedad (% RH)</v>
      </c>
      <c r="L15" s="50" t="str">
        <f>Primarios!U6</f>
        <v>Humedad (% RH)</v>
      </c>
    </row>
    <row r="16" spans="1:12" x14ac:dyDescent="0.2">
      <c r="A16" s="190"/>
      <c r="B16" s="167"/>
      <c r="C16" s="183"/>
      <c r="D16" s="50"/>
      <c r="E16" s="50"/>
      <c r="F16" s="50"/>
      <c r="G16" s="50"/>
      <c r="H16" s="50"/>
      <c r="I16" s="50"/>
      <c r="J16" s="50"/>
      <c r="K16" s="50"/>
      <c r="L16" s="50"/>
    </row>
    <row r="17" spans="1:12" x14ac:dyDescent="0.2">
      <c r="A17" s="51">
        <v>0</v>
      </c>
      <c r="B17" s="16">
        <f>Primarios!A7</f>
        <v>1</v>
      </c>
      <c r="C17" s="1">
        <f>Primarios!B7</f>
        <v>0</v>
      </c>
      <c r="D17" s="18">
        <f>Primarios!M7</f>
        <v>0</v>
      </c>
      <c r="E17" s="18">
        <f>Primarios!N7</f>
        <v>0</v>
      </c>
      <c r="F17" s="18">
        <f>Primarios!O7</f>
        <v>0</v>
      </c>
      <c r="G17" s="18">
        <f>Primarios!P7</f>
        <v>0</v>
      </c>
      <c r="H17" s="18">
        <f>Primarios!Q7</f>
        <v>0</v>
      </c>
      <c r="I17" s="18">
        <f>Primarios!R7</f>
        <v>0</v>
      </c>
      <c r="J17" s="18">
        <f>Primarios!S7</f>
        <v>0</v>
      </c>
      <c r="K17" s="18">
        <f>Primarios!T7</f>
        <v>0</v>
      </c>
      <c r="L17" s="18">
        <f>Primarios!U7</f>
        <v>0</v>
      </c>
    </row>
    <row r="18" spans="1:12" x14ac:dyDescent="0.2">
      <c r="A18" s="53">
        <v>3.472222222222222E-3</v>
      </c>
      <c r="B18" s="16">
        <f>Primarios!A8</f>
        <v>2</v>
      </c>
      <c r="C18" s="1">
        <f>Primarios!B8</f>
        <v>0</v>
      </c>
      <c r="D18" s="18">
        <f>Primarios!M8</f>
        <v>0</v>
      </c>
      <c r="E18" s="18">
        <f>Primarios!N8</f>
        <v>0</v>
      </c>
      <c r="F18" s="18">
        <f>Primarios!O8</f>
        <v>0</v>
      </c>
      <c r="G18" s="18">
        <f>Primarios!P8</f>
        <v>0</v>
      </c>
      <c r="H18" s="18">
        <f>Primarios!Q8</f>
        <v>0</v>
      </c>
      <c r="I18" s="18">
        <f>Primarios!R8</f>
        <v>0</v>
      </c>
      <c r="J18" s="18">
        <f>Primarios!S8</f>
        <v>0</v>
      </c>
      <c r="K18" s="18">
        <f>Primarios!T8</f>
        <v>0</v>
      </c>
      <c r="L18" s="18">
        <f>Primarios!U8</f>
        <v>0</v>
      </c>
    </row>
    <row r="19" spans="1:12" x14ac:dyDescent="0.2">
      <c r="A19" s="51">
        <v>6.9444444444444397E-3</v>
      </c>
      <c r="B19" s="16">
        <f>Primarios!A9</f>
        <v>3</v>
      </c>
      <c r="C19" s="1">
        <f>Primarios!B9</f>
        <v>0</v>
      </c>
      <c r="D19" s="18">
        <f>Primarios!M9</f>
        <v>0</v>
      </c>
      <c r="E19" s="18">
        <f>Primarios!N9</f>
        <v>0</v>
      </c>
      <c r="F19" s="18">
        <f>Primarios!O9</f>
        <v>0</v>
      </c>
      <c r="G19" s="18">
        <f>Primarios!P9</f>
        <v>0</v>
      </c>
      <c r="H19" s="18">
        <f>Primarios!Q9</f>
        <v>0</v>
      </c>
      <c r="I19" s="18">
        <f>Primarios!R9</f>
        <v>0</v>
      </c>
      <c r="J19" s="18">
        <f>Primarios!S9</f>
        <v>0</v>
      </c>
      <c r="K19" s="18">
        <f>Primarios!T9</f>
        <v>0</v>
      </c>
      <c r="L19" s="18">
        <f>Primarios!U9</f>
        <v>0</v>
      </c>
    </row>
    <row r="20" spans="1:12" x14ac:dyDescent="0.2">
      <c r="A20" s="53">
        <v>1.0416666666666701E-2</v>
      </c>
      <c r="B20" s="16">
        <f>Primarios!A10</f>
        <v>4</v>
      </c>
      <c r="C20" s="1">
        <f>Primarios!B10</f>
        <v>0</v>
      </c>
      <c r="D20" s="18">
        <f>Primarios!M10</f>
        <v>0</v>
      </c>
      <c r="E20" s="18">
        <f>Primarios!N10</f>
        <v>0</v>
      </c>
      <c r="F20" s="18">
        <f>Primarios!O10</f>
        <v>0</v>
      </c>
      <c r="G20" s="18">
        <f>Primarios!P10</f>
        <v>0</v>
      </c>
      <c r="H20" s="18">
        <f>Primarios!Q10</f>
        <v>0</v>
      </c>
      <c r="I20" s="18">
        <f>Primarios!R10</f>
        <v>0</v>
      </c>
      <c r="J20" s="18">
        <f>Primarios!S10</f>
        <v>0</v>
      </c>
      <c r="K20" s="18">
        <f>Primarios!T10</f>
        <v>0</v>
      </c>
      <c r="L20" s="18">
        <f>Primarios!U10</f>
        <v>0</v>
      </c>
    </row>
    <row r="21" spans="1:12" x14ac:dyDescent="0.2">
      <c r="A21" s="51">
        <v>1.38888888888889E-2</v>
      </c>
      <c r="B21" s="16">
        <f>Primarios!A11</f>
        <v>5</v>
      </c>
      <c r="C21" s="1">
        <f>Primarios!B11</f>
        <v>0</v>
      </c>
      <c r="D21" s="18">
        <f>Primarios!M11</f>
        <v>0</v>
      </c>
      <c r="E21" s="18">
        <f>Primarios!N11</f>
        <v>0</v>
      </c>
      <c r="F21" s="18">
        <f>Primarios!O11</f>
        <v>0</v>
      </c>
      <c r="G21" s="18">
        <f>Primarios!P11</f>
        <v>0</v>
      </c>
      <c r="H21" s="18">
        <f>Primarios!Q11</f>
        <v>0</v>
      </c>
      <c r="I21" s="18">
        <f>Primarios!R11</f>
        <v>0</v>
      </c>
      <c r="J21" s="18">
        <f>Primarios!S11</f>
        <v>0</v>
      </c>
      <c r="K21" s="18">
        <f>Primarios!T11</f>
        <v>0</v>
      </c>
      <c r="L21" s="18">
        <f>Primarios!U11</f>
        <v>0</v>
      </c>
    </row>
    <row r="22" spans="1:12" x14ac:dyDescent="0.2">
      <c r="A22" s="53">
        <v>1.7361111111111101E-2</v>
      </c>
      <c r="B22" s="16">
        <f>Primarios!A12</f>
        <v>6</v>
      </c>
      <c r="C22" s="1">
        <f>Primarios!B12</f>
        <v>0</v>
      </c>
      <c r="D22" s="18">
        <f>Primarios!M12</f>
        <v>0</v>
      </c>
      <c r="E22" s="18">
        <f>Primarios!N12</f>
        <v>0</v>
      </c>
      <c r="F22" s="18">
        <f>Primarios!O12</f>
        <v>0</v>
      </c>
      <c r="G22" s="18">
        <f>Primarios!P12</f>
        <v>0</v>
      </c>
      <c r="H22" s="18">
        <f>Primarios!Q12</f>
        <v>0</v>
      </c>
      <c r="I22" s="18">
        <f>Primarios!R12</f>
        <v>0</v>
      </c>
      <c r="J22" s="18">
        <f>Primarios!S12</f>
        <v>0</v>
      </c>
      <c r="K22" s="18">
        <f>Primarios!T12</f>
        <v>0</v>
      </c>
      <c r="L22" s="18">
        <f>Primarios!U12</f>
        <v>0</v>
      </c>
    </row>
    <row r="23" spans="1:12" x14ac:dyDescent="0.2">
      <c r="A23" s="51">
        <v>2.0833333333333301E-2</v>
      </c>
      <c r="B23" s="16">
        <f>Primarios!A13</f>
        <v>7</v>
      </c>
      <c r="C23" s="1">
        <f>Primarios!B13</f>
        <v>0</v>
      </c>
      <c r="D23" s="18">
        <f>Primarios!M13</f>
        <v>0</v>
      </c>
      <c r="E23" s="18">
        <f>Primarios!N13</f>
        <v>0</v>
      </c>
      <c r="F23" s="18">
        <f>Primarios!O13</f>
        <v>0</v>
      </c>
      <c r="G23" s="18">
        <f>Primarios!P13</f>
        <v>0</v>
      </c>
      <c r="H23" s="18">
        <f>Primarios!Q13</f>
        <v>0</v>
      </c>
      <c r="I23" s="18">
        <f>Primarios!R13</f>
        <v>0</v>
      </c>
      <c r="J23" s="18">
        <f>Primarios!S13</f>
        <v>0</v>
      </c>
      <c r="K23" s="18">
        <f>Primarios!T13</f>
        <v>0</v>
      </c>
      <c r="L23" s="18">
        <f>Primarios!U13</f>
        <v>0</v>
      </c>
    </row>
    <row r="24" spans="1:12" x14ac:dyDescent="0.2">
      <c r="A24" s="53">
        <v>2.4305555555555601E-2</v>
      </c>
      <c r="B24" s="16">
        <f>Primarios!A14</f>
        <v>8</v>
      </c>
      <c r="C24" s="1">
        <f>Primarios!B14</f>
        <v>0</v>
      </c>
      <c r="D24" s="18">
        <f>Primarios!M14</f>
        <v>0</v>
      </c>
      <c r="E24" s="18">
        <f>Primarios!N14</f>
        <v>0</v>
      </c>
      <c r="F24" s="18">
        <f>Primarios!O14</f>
        <v>0</v>
      </c>
      <c r="G24" s="18">
        <f>Primarios!P14</f>
        <v>0</v>
      </c>
      <c r="H24" s="18">
        <f>Primarios!Q14</f>
        <v>0</v>
      </c>
      <c r="I24" s="18">
        <f>Primarios!R14</f>
        <v>0</v>
      </c>
      <c r="J24" s="18">
        <f>Primarios!S14</f>
        <v>0</v>
      </c>
      <c r="K24" s="18">
        <f>Primarios!T14</f>
        <v>0</v>
      </c>
      <c r="L24" s="18">
        <f>Primarios!U14</f>
        <v>0</v>
      </c>
    </row>
    <row r="25" spans="1:12" x14ac:dyDescent="0.2">
      <c r="A25" s="51">
        <v>2.7777777777777801E-2</v>
      </c>
      <c r="B25" s="16">
        <f>Primarios!A15</f>
        <v>9</v>
      </c>
      <c r="C25" s="1">
        <f>Primarios!B15</f>
        <v>0</v>
      </c>
      <c r="D25" s="18">
        <f>Primarios!M15</f>
        <v>0</v>
      </c>
      <c r="E25" s="18">
        <f>Primarios!N15</f>
        <v>0</v>
      </c>
      <c r="F25" s="18">
        <f>Primarios!O15</f>
        <v>0</v>
      </c>
      <c r="G25" s="18">
        <f>Primarios!P15</f>
        <v>0</v>
      </c>
      <c r="H25" s="18">
        <f>Primarios!Q15</f>
        <v>0</v>
      </c>
      <c r="I25" s="18">
        <f>Primarios!R15</f>
        <v>0</v>
      </c>
      <c r="J25" s="18">
        <f>Primarios!S15</f>
        <v>0</v>
      </c>
      <c r="K25" s="18">
        <f>Primarios!T15</f>
        <v>0</v>
      </c>
      <c r="L25" s="18">
        <f>Primarios!U15</f>
        <v>0</v>
      </c>
    </row>
    <row r="26" spans="1:12" x14ac:dyDescent="0.2">
      <c r="A26" s="53">
        <v>3.125E-2</v>
      </c>
      <c r="B26" s="16">
        <f>Primarios!A16</f>
        <v>10</v>
      </c>
      <c r="C26" s="1">
        <f>Primarios!B16</f>
        <v>0</v>
      </c>
      <c r="D26" s="18">
        <f>Primarios!M16</f>
        <v>0</v>
      </c>
      <c r="E26" s="18">
        <f>Primarios!N16</f>
        <v>0</v>
      </c>
      <c r="F26" s="18">
        <f>Primarios!O16</f>
        <v>0</v>
      </c>
      <c r="G26" s="18">
        <f>Primarios!P16</f>
        <v>0</v>
      </c>
      <c r="H26" s="18">
        <f>Primarios!Q16</f>
        <v>0</v>
      </c>
      <c r="I26" s="18">
        <f>Primarios!R16</f>
        <v>0</v>
      </c>
      <c r="J26" s="18">
        <f>Primarios!S16</f>
        <v>0</v>
      </c>
      <c r="K26" s="18">
        <f>Primarios!T16</f>
        <v>0</v>
      </c>
      <c r="L26" s="18">
        <f>Primarios!U16</f>
        <v>0</v>
      </c>
    </row>
    <row r="27" spans="1:12" x14ac:dyDescent="0.2">
      <c r="A27" s="51">
        <v>3.4722222222222203E-2</v>
      </c>
      <c r="B27" s="16">
        <f>Primarios!A17</f>
        <v>11</v>
      </c>
      <c r="C27" s="1">
        <f>Primarios!B17</f>
        <v>0</v>
      </c>
      <c r="D27" s="18">
        <f>Primarios!M17</f>
        <v>0</v>
      </c>
      <c r="E27" s="18">
        <f>Primarios!N17</f>
        <v>0</v>
      </c>
      <c r="F27" s="18">
        <f>Primarios!O17</f>
        <v>0</v>
      </c>
      <c r="G27" s="18">
        <f>Primarios!P17</f>
        <v>0</v>
      </c>
      <c r="H27" s="18">
        <f>Primarios!Q17</f>
        <v>0</v>
      </c>
      <c r="I27" s="18">
        <f>Primarios!R17</f>
        <v>0</v>
      </c>
      <c r="J27" s="18">
        <f>Primarios!S17</f>
        <v>0</v>
      </c>
      <c r="K27" s="18">
        <f>Primarios!T17</f>
        <v>0</v>
      </c>
      <c r="L27" s="18">
        <f>Primarios!U17</f>
        <v>0</v>
      </c>
    </row>
    <row r="28" spans="1:12" x14ac:dyDescent="0.2">
      <c r="A28" s="53">
        <v>3.8194444444444399E-2</v>
      </c>
      <c r="B28" s="16">
        <f>Primarios!A18</f>
        <v>12</v>
      </c>
      <c r="C28" s="1">
        <f>Primarios!B18</f>
        <v>0</v>
      </c>
      <c r="D28" s="18">
        <f>Primarios!M18</f>
        <v>0</v>
      </c>
      <c r="E28" s="18">
        <f>Primarios!N18</f>
        <v>0</v>
      </c>
      <c r="F28" s="18">
        <f>Primarios!O18</f>
        <v>0</v>
      </c>
      <c r="G28" s="18">
        <f>Primarios!P18</f>
        <v>0</v>
      </c>
      <c r="H28" s="18">
        <f>Primarios!Q18</f>
        <v>0</v>
      </c>
      <c r="I28" s="18">
        <f>Primarios!R18</f>
        <v>0</v>
      </c>
      <c r="J28" s="18">
        <f>Primarios!S18</f>
        <v>0</v>
      </c>
      <c r="K28" s="18">
        <f>Primarios!T18</f>
        <v>0</v>
      </c>
      <c r="L28" s="18">
        <f>Primarios!U18</f>
        <v>0</v>
      </c>
    </row>
    <row r="29" spans="1:12" x14ac:dyDescent="0.2">
      <c r="A29" s="51">
        <v>4.1666666666666699E-2</v>
      </c>
      <c r="B29" s="16">
        <f>Primarios!A19</f>
        <v>13</v>
      </c>
      <c r="C29" s="1">
        <f>Primarios!B19</f>
        <v>0</v>
      </c>
      <c r="D29" s="18">
        <f>Primarios!M19</f>
        <v>0</v>
      </c>
      <c r="E29" s="18">
        <f>Primarios!N19</f>
        <v>0</v>
      </c>
      <c r="F29" s="18">
        <f>Primarios!O19</f>
        <v>0</v>
      </c>
      <c r="G29" s="18">
        <f>Primarios!P19</f>
        <v>0</v>
      </c>
      <c r="H29" s="18">
        <f>Primarios!Q19</f>
        <v>0</v>
      </c>
      <c r="I29" s="18">
        <f>Primarios!R19</f>
        <v>0</v>
      </c>
      <c r="J29" s="18">
        <f>Primarios!S19</f>
        <v>0</v>
      </c>
      <c r="K29" s="18">
        <f>Primarios!T19</f>
        <v>0</v>
      </c>
      <c r="L29" s="18">
        <f>Primarios!U19</f>
        <v>0</v>
      </c>
    </row>
    <row r="30" spans="1:12" x14ac:dyDescent="0.2">
      <c r="A30" s="53">
        <v>4.5138888888888902E-2</v>
      </c>
      <c r="B30" s="16">
        <f>Primarios!A20</f>
        <v>14</v>
      </c>
      <c r="C30" s="1">
        <f>Primarios!B20</f>
        <v>0</v>
      </c>
      <c r="D30" s="18">
        <f>Primarios!M20</f>
        <v>0</v>
      </c>
      <c r="E30" s="18">
        <f>Primarios!N20</f>
        <v>0</v>
      </c>
      <c r="F30" s="18">
        <f>Primarios!O20</f>
        <v>0</v>
      </c>
      <c r="G30" s="18">
        <f>Primarios!P20</f>
        <v>0</v>
      </c>
      <c r="H30" s="18">
        <f>Primarios!Q20</f>
        <v>0</v>
      </c>
      <c r="I30" s="18">
        <f>Primarios!R20</f>
        <v>0</v>
      </c>
      <c r="J30" s="18">
        <f>Primarios!S20</f>
        <v>0</v>
      </c>
      <c r="K30" s="18">
        <f>Primarios!T20</f>
        <v>0</v>
      </c>
      <c r="L30" s="18">
        <f>Primarios!U20</f>
        <v>0</v>
      </c>
    </row>
    <row r="31" spans="1:12" x14ac:dyDescent="0.2">
      <c r="A31" s="51">
        <v>4.8611111111111098E-2</v>
      </c>
      <c r="B31" s="16">
        <f>Primarios!A21</f>
        <v>15</v>
      </c>
      <c r="C31" s="1">
        <f>Primarios!B21</f>
        <v>0</v>
      </c>
      <c r="D31" s="18">
        <f>Primarios!M21</f>
        <v>0</v>
      </c>
      <c r="E31" s="18">
        <f>Primarios!N21</f>
        <v>0</v>
      </c>
      <c r="F31" s="18">
        <f>Primarios!O21</f>
        <v>0</v>
      </c>
      <c r="G31" s="18">
        <f>Primarios!P21</f>
        <v>0</v>
      </c>
      <c r="H31" s="18">
        <f>Primarios!Q21</f>
        <v>0</v>
      </c>
      <c r="I31" s="18">
        <f>Primarios!R21</f>
        <v>0</v>
      </c>
      <c r="J31" s="18">
        <f>Primarios!S21</f>
        <v>0</v>
      </c>
      <c r="K31" s="18">
        <f>Primarios!T21</f>
        <v>0</v>
      </c>
      <c r="L31" s="18">
        <f>Primarios!U21</f>
        <v>0</v>
      </c>
    </row>
    <row r="32" spans="1:12" x14ac:dyDescent="0.2">
      <c r="A32" s="53">
        <v>5.2083333333333301E-2</v>
      </c>
      <c r="B32" s="16">
        <f>Primarios!A22</f>
        <v>16</v>
      </c>
      <c r="C32" s="1">
        <f>Primarios!B22</f>
        <v>0</v>
      </c>
      <c r="D32" s="18">
        <f>Primarios!M22</f>
        <v>0</v>
      </c>
      <c r="E32" s="18">
        <f>Primarios!N22</f>
        <v>0</v>
      </c>
      <c r="F32" s="18">
        <f>Primarios!O22</f>
        <v>0</v>
      </c>
      <c r="G32" s="18">
        <f>Primarios!P22</f>
        <v>0</v>
      </c>
      <c r="H32" s="18">
        <f>Primarios!Q22</f>
        <v>0</v>
      </c>
      <c r="I32" s="18">
        <f>Primarios!R22</f>
        <v>0</v>
      </c>
      <c r="J32" s="18">
        <f>Primarios!S22</f>
        <v>0</v>
      </c>
      <c r="K32" s="18">
        <f>Primarios!T22</f>
        <v>0</v>
      </c>
      <c r="L32" s="18">
        <f>Primarios!U22</f>
        <v>0</v>
      </c>
    </row>
    <row r="33" spans="1:12" x14ac:dyDescent="0.2">
      <c r="A33" s="51">
        <v>5.5555555555555601E-2</v>
      </c>
      <c r="B33" s="16">
        <f>Primarios!A23</f>
        <v>17</v>
      </c>
      <c r="C33" s="1">
        <f>Primarios!B23</f>
        <v>0</v>
      </c>
      <c r="D33" s="18">
        <f>Primarios!M23</f>
        <v>0</v>
      </c>
      <c r="E33" s="18">
        <f>Primarios!N23</f>
        <v>0</v>
      </c>
      <c r="F33" s="18">
        <f>Primarios!O23</f>
        <v>0</v>
      </c>
      <c r="G33" s="18">
        <f>Primarios!P23</f>
        <v>0</v>
      </c>
      <c r="H33" s="18">
        <f>Primarios!Q23</f>
        <v>0</v>
      </c>
      <c r="I33" s="18">
        <f>Primarios!R23</f>
        <v>0</v>
      </c>
      <c r="J33" s="18">
        <f>Primarios!S23</f>
        <v>0</v>
      </c>
      <c r="K33" s="18">
        <f>Primarios!T23</f>
        <v>0</v>
      </c>
      <c r="L33" s="18">
        <f>Primarios!U23</f>
        <v>0</v>
      </c>
    </row>
    <row r="34" spans="1:12" x14ac:dyDescent="0.2">
      <c r="A34" s="53">
        <v>5.9027777777777797E-2</v>
      </c>
      <c r="B34" s="16">
        <f>Primarios!A24</f>
        <v>18</v>
      </c>
      <c r="C34" s="1">
        <f>Primarios!B24</f>
        <v>0</v>
      </c>
      <c r="D34" s="18">
        <f>Primarios!M24</f>
        <v>0</v>
      </c>
      <c r="E34" s="18">
        <f>Primarios!N24</f>
        <v>0</v>
      </c>
      <c r="F34" s="18">
        <f>Primarios!O24</f>
        <v>0</v>
      </c>
      <c r="G34" s="18">
        <f>Primarios!P24</f>
        <v>0</v>
      </c>
      <c r="H34" s="18">
        <f>Primarios!Q24</f>
        <v>0</v>
      </c>
      <c r="I34" s="18">
        <f>Primarios!R24</f>
        <v>0</v>
      </c>
      <c r="J34" s="18">
        <f>Primarios!S24</f>
        <v>0</v>
      </c>
      <c r="K34" s="18">
        <f>Primarios!T24</f>
        <v>0</v>
      </c>
      <c r="L34" s="18">
        <f>Primarios!U24</f>
        <v>0</v>
      </c>
    </row>
    <row r="35" spans="1:12" x14ac:dyDescent="0.2">
      <c r="A35" s="51">
        <v>6.25E-2</v>
      </c>
      <c r="B35" s="16">
        <f>Primarios!A25</f>
        <v>19</v>
      </c>
      <c r="C35" s="1">
        <f>Primarios!B25</f>
        <v>0</v>
      </c>
      <c r="D35" s="18">
        <f>Primarios!M25</f>
        <v>0</v>
      </c>
      <c r="E35" s="18">
        <f>Primarios!N25</f>
        <v>0</v>
      </c>
      <c r="F35" s="18">
        <f>Primarios!O25</f>
        <v>0</v>
      </c>
      <c r="G35" s="18">
        <f>Primarios!P25</f>
        <v>0</v>
      </c>
      <c r="H35" s="18">
        <f>Primarios!Q25</f>
        <v>0</v>
      </c>
      <c r="I35" s="18">
        <f>Primarios!R25</f>
        <v>0</v>
      </c>
      <c r="J35" s="18">
        <f>Primarios!S25</f>
        <v>0</v>
      </c>
      <c r="K35" s="18">
        <f>Primarios!T25</f>
        <v>0</v>
      </c>
      <c r="L35" s="18">
        <f>Primarios!U25</f>
        <v>0</v>
      </c>
    </row>
    <row r="36" spans="1:12" x14ac:dyDescent="0.2">
      <c r="A36" s="53">
        <v>6.5972222222222196E-2</v>
      </c>
      <c r="B36" s="16">
        <f>Primarios!A26</f>
        <v>20</v>
      </c>
      <c r="C36" s="1">
        <f>Primarios!B26</f>
        <v>0</v>
      </c>
      <c r="D36" s="18">
        <f>Primarios!M26</f>
        <v>0</v>
      </c>
      <c r="E36" s="18">
        <f>Primarios!N26</f>
        <v>0</v>
      </c>
      <c r="F36" s="18">
        <f>Primarios!O26</f>
        <v>0</v>
      </c>
      <c r="G36" s="18">
        <f>Primarios!P26</f>
        <v>0</v>
      </c>
      <c r="H36" s="18">
        <f>Primarios!Q26</f>
        <v>0</v>
      </c>
      <c r="I36" s="18">
        <f>Primarios!R26</f>
        <v>0</v>
      </c>
      <c r="J36" s="18">
        <f>Primarios!S26</f>
        <v>0</v>
      </c>
      <c r="K36" s="18">
        <f>Primarios!T26</f>
        <v>0</v>
      </c>
      <c r="L36" s="18">
        <f>Primarios!U26</f>
        <v>0</v>
      </c>
    </row>
    <row r="37" spans="1:12" x14ac:dyDescent="0.2">
      <c r="A37" s="51">
        <v>6.9444444444444406E-2</v>
      </c>
      <c r="B37" s="16">
        <f>Primarios!A27</f>
        <v>21</v>
      </c>
      <c r="C37" s="1">
        <f>Primarios!B27</f>
        <v>0</v>
      </c>
      <c r="D37" s="18">
        <f>Primarios!M27</f>
        <v>0</v>
      </c>
      <c r="E37" s="18">
        <f>Primarios!N27</f>
        <v>0</v>
      </c>
      <c r="F37" s="18">
        <f>Primarios!O27</f>
        <v>0</v>
      </c>
      <c r="G37" s="18">
        <f>Primarios!P27</f>
        <v>0</v>
      </c>
      <c r="H37" s="18">
        <f>Primarios!Q27</f>
        <v>0</v>
      </c>
      <c r="I37" s="18">
        <f>Primarios!R27</f>
        <v>0</v>
      </c>
      <c r="J37" s="18">
        <f>Primarios!S27</f>
        <v>0</v>
      </c>
      <c r="K37" s="18">
        <f>Primarios!T27</f>
        <v>0</v>
      </c>
      <c r="L37" s="18">
        <f>Primarios!U27</f>
        <v>0</v>
      </c>
    </row>
    <row r="38" spans="1:12" x14ac:dyDescent="0.2">
      <c r="A38" s="53">
        <v>7.2916666666666699E-2</v>
      </c>
      <c r="B38" s="16">
        <f>Primarios!A28</f>
        <v>22</v>
      </c>
      <c r="C38" s="1">
        <f>Primarios!B28</f>
        <v>0</v>
      </c>
      <c r="D38" s="18">
        <f>Primarios!M28</f>
        <v>0</v>
      </c>
      <c r="E38" s="18">
        <f>Primarios!N28</f>
        <v>0</v>
      </c>
      <c r="F38" s="18">
        <f>Primarios!O28</f>
        <v>0</v>
      </c>
      <c r="G38" s="18">
        <f>Primarios!P28</f>
        <v>0</v>
      </c>
      <c r="H38" s="18">
        <f>Primarios!Q28</f>
        <v>0</v>
      </c>
      <c r="I38" s="18">
        <f>Primarios!R28</f>
        <v>0</v>
      </c>
      <c r="J38" s="18">
        <f>Primarios!S28</f>
        <v>0</v>
      </c>
      <c r="K38" s="18">
        <f>Primarios!T28</f>
        <v>0</v>
      </c>
      <c r="L38" s="18">
        <f>Primarios!U28</f>
        <v>0</v>
      </c>
    </row>
    <row r="39" spans="1:12" x14ac:dyDescent="0.2">
      <c r="A39" s="51">
        <v>7.6388888888888895E-2</v>
      </c>
      <c r="B39" s="16">
        <f>Primarios!A29</f>
        <v>23</v>
      </c>
      <c r="C39" s="1">
        <f>Primarios!B29</f>
        <v>0</v>
      </c>
      <c r="D39" s="18">
        <f>Primarios!M29</f>
        <v>0</v>
      </c>
      <c r="E39" s="18">
        <f>Primarios!N29</f>
        <v>0</v>
      </c>
      <c r="F39" s="18">
        <f>Primarios!O29</f>
        <v>0</v>
      </c>
      <c r="G39" s="18">
        <f>Primarios!P29</f>
        <v>0</v>
      </c>
      <c r="H39" s="18">
        <f>Primarios!Q29</f>
        <v>0</v>
      </c>
      <c r="I39" s="18">
        <f>Primarios!R29</f>
        <v>0</v>
      </c>
      <c r="J39" s="18">
        <f>Primarios!S29</f>
        <v>0</v>
      </c>
      <c r="K39" s="18">
        <f>Primarios!T29</f>
        <v>0</v>
      </c>
      <c r="L39" s="18">
        <f>Primarios!U29</f>
        <v>0</v>
      </c>
    </row>
    <row r="40" spans="1:12" x14ac:dyDescent="0.2">
      <c r="A40" s="53">
        <v>7.9861111111111105E-2</v>
      </c>
      <c r="B40" s="16">
        <f>Primarios!A30</f>
        <v>24</v>
      </c>
      <c r="C40" s="1">
        <f>Primarios!B30</f>
        <v>0</v>
      </c>
      <c r="D40" s="18">
        <f>Primarios!M30</f>
        <v>0</v>
      </c>
      <c r="E40" s="18">
        <f>Primarios!N30</f>
        <v>0</v>
      </c>
      <c r="F40" s="18">
        <f>Primarios!O30</f>
        <v>0</v>
      </c>
      <c r="G40" s="18">
        <f>Primarios!P30</f>
        <v>0</v>
      </c>
      <c r="H40" s="18">
        <f>Primarios!Q30</f>
        <v>0</v>
      </c>
      <c r="I40" s="18">
        <f>Primarios!R30</f>
        <v>0</v>
      </c>
      <c r="J40" s="18">
        <f>Primarios!S30</f>
        <v>0</v>
      </c>
      <c r="K40" s="18">
        <f>Primarios!T30</f>
        <v>0</v>
      </c>
      <c r="L40" s="18">
        <f>Primarios!U30</f>
        <v>0</v>
      </c>
    </row>
    <row r="41" spans="1:12" x14ac:dyDescent="0.2">
      <c r="A41" s="51">
        <v>8.3333333333333301E-2</v>
      </c>
      <c r="B41" s="16">
        <f>Primarios!A31</f>
        <v>25</v>
      </c>
      <c r="C41" s="1">
        <f>Primarios!B31</f>
        <v>0</v>
      </c>
      <c r="D41" s="18">
        <f>Primarios!M31</f>
        <v>0</v>
      </c>
      <c r="E41" s="18">
        <f>Primarios!N31</f>
        <v>0</v>
      </c>
      <c r="F41" s="18">
        <f>Primarios!O31</f>
        <v>0</v>
      </c>
      <c r="G41" s="18">
        <f>Primarios!P31</f>
        <v>0</v>
      </c>
      <c r="H41" s="18">
        <f>Primarios!Q31</f>
        <v>0</v>
      </c>
      <c r="I41" s="18">
        <f>Primarios!R31</f>
        <v>0</v>
      </c>
      <c r="J41" s="18">
        <f>Primarios!S31</f>
        <v>0</v>
      </c>
      <c r="K41" s="18">
        <f>Primarios!T31</f>
        <v>0</v>
      </c>
      <c r="L41" s="18">
        <f>Primarios!U31</f>
        <v>0</v>
      </c>
    </row>
    <row r="42" spans="1:12" x14ac:dyDescent="0.2">
      <c r="A42" s="53">
        <v>8.6805555555555594E-2</v>
      </c>
      <c r="B42" s="16">
        <f>Primarios!A32</f>
        <v>26</v>
      </c>
      <c r="C42" s="1">
        <f>Primarios!B32</f>
        <v>0</v>
      </c>
      <c r="D42" s="18">
        <f>Primarios!M32</f>
        <v>0</v>
      </c>
      <c r="E42" s="18">
        <f>Primarios!N32</f>
        <v>0</v>
      </c>
      <c r="F42" s="18">
        <f>Primarios!O32</f>
        <v>0</v>
      </c>
      <c r="G42" s="18">
        <f>Primarios!P32</f>
        <v>0</v>
      </c>
      <c r="H42" s="18">
        <f>Primarios!Q32</f>
        <v>0</v>
      </c>
      <c r="I42" s="18">
        <f>Primarios!R32</f>
        <v>0</v>
      </c>
      <c r="J42" s="18">
        <f>Primarios!S32</f>
        <v>0</v>
      </c>
      <c r="K42" s="18">
        <f>Primarios!T32</f>
        <v>0</v>
      </c>
      <c r="L42" s="18">
        <f>Primarios!U32</f>
        <v>0</v>
      </c>
    </row>
    <row r="43" spans="1:12" x14ac:dyDescent="0.2">
      <c r="A43" s="51">
        <v>9.0277777777777804E-2</v>
      </c>
      <c r="B43" s="16">
        <f>Primarios!A33</f>
        <v>27</v>
      </c>
      <c r="C43" s="1">
        <f>Primarios!B33</f>
        <v>0</v>
      </c>
      <c r="D43" s="18">
        <f>Primarios!M33</f>
        <v>0</v>
      </c>
      <c r="E43" s="18">
        <f>Primarios!N33</f>
        <v>0</v>
      </c>
      <c r="F43" s="18">
        <f>Primarios!O33</f>
        <v>0</v>
      </c>
      <c r="G43" s="18">
        <f>Primarios!P33</f>
        <v>0</v>
      </c>
      <c r="H43" s="18">
        <f>Primarios!Q33</f>
        <v>0</v>
      </c>
      <c r="I43" s="18">
        <f>Primarios!R33</f>
        <v>0</v>
      </c>
      <c r="J43" s="18">
        <f>Primarios!S33</f>
        <v>0</v>
      </c>
      <c r="K43" s="18">
        <f>Primarios!T33</f>
        <v>0</v>
      </c>
      <c r="L43" s="18">
        <f>Primarios!U33</f>
        <v>0</v>
      </c>
    </row>
    <row r="44" spans="1:12" x14ac:dyDescent="0.2">
      <c r="A44" s="53">
        <v>9.375E-2</v>
      </c>
      <c r="B44" s="16">
        <f>Primarios!A34</f>
        <v>28</v>
      </c>
      <c r="C44" s="1">
        <f>Primarios!B34</f>
        <v>0</v>
      </c>
      <c r="D44" s="18">
        <f>Primarios!M34</f>
        <v>0</v>
      </c>
      <c r="E44" s="18">
        <f>Primarios!N34</f>
        <v>0</v>
      </c>
      <c r="F44" s="18">
        <f>Primarios!O34</f>
        <v>0</v>
      </c>
      <c r="G44" s="18">
        <f>Primarios!P34</f>
        <v>0</v>
      </c>
      <c r="H44" s="18">
        <f>Primarios!Q34</f>
        <v>0</v>
      </c>
      <c r="I44" s="18">
        <f>Primarios!R34</f>
        <v>0</v>
      </c>
      <c r="J44" s="18">
        <f>Primarios!S34</f>
        <v>0</v>
      </c>
      <c r="K44" s="18">
        <f>Primarios!T34</f>
        <v>0</v>
      </c>
      <c r="L44" s="18">
        <f>Primarios!U34</f>
        <v>0</v>
      </c>
    </row>
    <row r="45" spans="1:12" x14ac:dyDescent="0.2">
      <c r="A45" s="51">
        <v>9.7222222222222196E-2</v>
      </c>
      <c r="B45" s="16">
        <f>Primarios!A35</f>
        <v>29</v>
      </c>
      <c r="C45" s="1">
        <f>Primarios!B35</f>
        <v>0</v>
      </c>
      <c r="D45" s="18">
        <f>Primarios!M35</f>
        <v>0</v>
      </c>
      <c r="E45" s="18">
        <f>Primarios!N35</f>
        <v>0</v>
      </c>
      <c r="F45" s="18">
        <f>Primarios!O35</f>
        <v>0</v>
      </c>
      <c r="G45" s="18">
        <f>Primarios!P35</f>
        <v>0</v>
      </c>
      <c r="H45" s="18">
        <f>Primarios!Q35</f>
        <v>0</v>
      </c>
      <c r="I45" s="18">
        <f>Primarios!R35</f>
        <v>0</v>
      </c>
      <c r="J45" s="18">
        <f>Primarios!S35</f>
        <v>0</v>
      </c>
      <c r="K45" s="18">
        <f>Primarios!T35</f>
        <v>0</v>
      </c>
      <c r="L45" s="18">
        <f>Primarios!U35</f>
        <v>0</v>
      </c>
    </row>
    <row r="46" spans="1:12" x14ac:dyDescent="0.2">
      <c r="A46" s="53">
        <v>0.100694444444444</v>
      </c>
      <c r="B46" s="16">
        <f>Primarios!A36</f>
        <v>30</v>
      </c>
      <c r="C46" s="1">
        <f>Primarios!B36</f>
        <v>0</v>
      </c>
      <c r="D46" s="18">
        <f>Primarios!M36</f>
        <v>0</v>
      </c>
      <c r="E46" s="18">
        <f>Primarios!N36</f>
        <v>0</v>
      </c>
      <c r="F46" s="18">
        <f>Primarios!O36</f>
        <v>0</v>
      </c>
      <c r="G46" s="18">
        <f>Primarios!P36</f>
        <v>0</v>
      </c>
      <c r="H46" s="18">
        <f>Primarios!Q36</f>
        <v>0</v>
      </c>
      <c r="I46" s="18">
        <f>Primarios!R36</f>
        <v>0</v>
      </c>
      <c r="J46" s="18">
        <f>Primarios!S36</f>
        <v>0</v>
      </c>
      <c r="K46" s="18">
        <f>Primarios!T36</f>
        <v>0</v>
      </c>
      <c r="L46" s="18">
        <f>Primarios!U36</f>
        <v>0</v>
      </c>
    </row>
    <row r="47" spans="1:12" x14ac:dyDescent="0.2">
      <c r="A47" s="51">
        <v>0.104166666666667</v>
      </c>
      <c r="B47" s="16">
        <f>Primarios!A37</f>
        <v>31</v>
      </c>
      <c r="C47" s="1">
        <f>Primarios!B37</f>
        <v>0</v>
      </c>
      <c r="D47" s="18">
        <f>Primarios!M37</f>
        <v>0</v>
      </c>
      <c r="E47" s="18">
        <f>Primarios!N37</f>
        <v>0</v>
      </c>
      <c r="F47" s="18">
        <f>Primarios!O37</f>
        <v>0</v>
      </c>
      <c r="G47" s="18">
        <f>Primarios!P37</f>
        <v>0</v>
      </c>
      <c r="H47" s="18">
        <f>Primarios!Q37</f>
        <v>0</v>
      </c>
      <c r="I47" s="18">
        <f>Primarios!R37</f>
        <v>0</v>
      </c>
      <c r="J47" s="18">
        <f>Primarios!S37</f>
        <v>0</v>
      </c>
      <c r="K47" s="18">
        <f>Primarios!T37</f>
        <v>0</v>
      </c>
      <c r="L47" s="18">
        <f>Primarios!U37</f>
        <v>0</v>
      </c>
    </row>
    <row r="48" spans="1:12" x14ac:dyDescent="0.2">
      <c r="A48" s="53">
        <v>0.10763888888888901</v>
      </c>
      <c r="B48" s="16">
        <f>Primarios!A38</f>
        <v>32</v>
      </c>
      <c r="C48" s="1">
        <f>Primarios!B38</f>
        <v>0</v>
      </c>
      <c r="D48" s="18">
        <f>Primarios!M38</f>
        <v>0</v>
      </c>
      <c r="E48" s="18">
        <f>Primarios!N38</f>
        <v>0</v>
      </c>
      <c r="F48" s="18">
        <f>Primarios!O38</f>
        <v>0</v>
      </c>
      <c r="G48" s="18">
        <f>Primarios!P38</f>
        <v>0</v>
      </c>
      <c r="H48" s="18">
        <f>Primarios!Q38</f>
        <v>0</v>
      </c>
      <c r="I48" s="18">
        <f>Primarios!R38</f>
        <v>0</v>
      </c>
      <c r="J48" s="18">
        <f>Primarios!S38</f>
        <v>0</v>
      </c>
      <c r="K48" s="18">
        <f>Primarios!T38</f>
        <v>0</v>
      </c>
      <c r="L48" s="18">
        <f>Primarios!U38</f>
        <v>0</v>
      </c>
    </row>
    <row r="49" spans="1:12" x14ac:dyDescent="0.2">
      <c r="A49" s="51">
        <v>0.11111111111111099</v>
      </c>
      <c r="B49" s="16">
        <f>Primarios!A39</f>
        <v>33</v>
      </c>
      <c r="C49" s="1">
        <f>Primarios!B39</f>
        <v>0</v>
      </c>
      <c r="D49" s="18">
        <f>Primarios!M39</f>
        <v>0</v>
      </c>
      <c r="E49" s="18">
        <f>Primarios!N39</f>
        <v>0</v>
      </c>
      <c r="F49" s="18">
        <f>Primarios!O39</f>
        <v>0</v>
      </c>
      <c r="G49" s="18">
        <f>Primarios!P39</f>
        <v>0</v>
      </c>
      <c r="H49" s="18">
        <f>Primarios!Q39</f>
        <v>0</v>
      </c>
      <c r="I49" s="18">
        <f>Primarios!R39</f>
        <v>0</v>
      </c>
      <c r="J49" s="18">
        <f>Primarios!S39</f>
        <v>0</v>
      </c>
      <c r="K49" s="18">
        <f>Primarios!T39</f>
        <v>0</v>
      </c>
      <c r="L49" s="18">
        <f>Primarios!U39</f>
        <v>0</v>
      </c>
    </row>
    <row r="50" spans="1:12" x14ac:dyDescent="0.2">
      <c r="A50" s="53">
        <v>0.114583333333333</v>
      </c>
      <c r="B50" s="16">
        <f>Primarios!A40</f>
        <v>34</v>
      </c>
      <c r="C50" s="1">
        <f>Primarios!B40</f>
        <v>0</v>
      </c>
      <c r="D50" s="18">
        <f>Primarios!M40</f>
        <v>0</v>
      </c>
      <c r="E50" s="18">
        <f>Primarios!N40</f>
        <v>0</v>
      </c>
      <c r="F50" s="18">
        <f>Primarios!O40</f>
        <v>0</v>
      </c>
      <c r="G50" s="18">
        <f>Primarios!P40</f>
        <v>0</v>
      </c>
      <c r="H50" s="18">
        <f>Primarios!Q40</f>
        <v>0</v>
      </c>
      <c r="I50" s="18">
        <f>Primarios!R40</f>
        <v>0</v>
      </c>
      <c r="J50" s="18">
        <f>Primarios!S40</f>
        <v>0</v>
      </c>
      <c r="K50" s="18">
        <f>Primarios!T40</f>
        <v>0</v>
      </c>
      <c r="L50" s="18">
        <f>Primarios!U40</f>
        <v>0</v>
      </c>
    </row>
    <row r="51" spans="1:12" x14ac:dyDescent="0.2">
      <c r="A51" s="51">
        <v>0.118055555555556</v>
      </c>
      <c r="B51" s="16">
        <f>Primarios!A41</f>
        <v>35</v>
      </c>
      <c r="C51" s="1">
        <f>Primarios!B41</f>
        <v>0</v>
      </c>
      <c r="D51" s="18">
        <f>Primarios!M41</f>
        <v>0</v>
      </c>
      <c r="E51" s="18">
        <f>Primarios!N41</f>
        <v>0</v>
      </c>
      <c r="F51" s="18">
        <f>Primarios!O41</f>
        <v>0</v>
      </c>
      <c r="G51" s="18">
        <f>Primarios!P41</f>
        <v>0</v>
      </c>
      <c r="H51" s="18">
        <f>Primarios!Q41</f>
        <v>0</v>
      </c>
      <c r="I51" s="18">
        <f>Primarios!R41</f>
        <v>0</v>
      </c>
      <c r="J51" s="18">
        <f>Primarios!S41</f>
        <v>0</v>
      </c>
      <c r="K51" s="18">
        <f>Primarios!T41</f>
        <v>0</v>
      </c>
      <c r="L51" s="18">
        <f>Primarios!U41</f>
        <v>0</v>
      </c>
    </row>
    <row r="52" spans="1:12" x14ac:dyDescent="0.2">
      <c r="A52" s="53">
        <v>0.121527777777778</v>
      </c>
      <c r="B52" s="16">
        <f>Primarios!A42</f>
        <v>36</v>
      </c>
      <c r="C52" s="1">
        <f>Primarios!B42</f>
        <v>0</v>
      </c>
      <c r="D52" s="18">
        <f>Primarios!M42</f>
        <v>0</v>
      </c>
      <c r="E52" s="18">
        <f>Primarios!N42</f>
        <v>0</v>
      </c>
      <c r="F52" s="18">
        <f>Primarios!O42</f>
        <v>0</v>
      </c>
      <c r="G52" s="18">
        <f>Primarios!P42</f>
        <v>0</v>
      </c>
      <c r="H52" s="18">
        <f>Primarios!Q42</f>
        <v>0</v>
      </c>
      <c r="I52" s="18">
        <f>Primarios!R42</f>
        <v>0</v>
      </c>
      <c r="J52" s="18">
        <f>Primarios!S42</f>
        <v>0</v>
      </c>
      <c r="K52" s="18">
        <f>Primarios!T42</f>
        <v>0</v>
      </c>
      <c r="L52" s="18">
        <f>Primarios!U42</f>
        <v>0</v>
      </c>
    </row>
    <row r="53" spans="1:12" x14ac:dyDescent="0.2">
      <c r="A53" s="51">
        <v>0.125</v>
      </c>
      <c r="B53" s="16">
        <f>Primarios!A43</f>
        <v>37</v>
      </c>
      <c r="C53" s="1">
        <f>Primarios!B43</f>
        <v>0</v>
      </c>
      <c r="D53" s="18">
        <f>Primarios!M43</f>
        <v>0</v>
      </c>
      <c r="E53" s="18">
        <f>Primarios!N43</f>
        <v>0</v>
      </c>
      <c r="F53" s="18">
        <f>Primarios!O43</f>
        <v>0</v>
      </c>
      <c r="G53" s="18">
        <f>Primarios!P43</f>
        <v>0</v>
      </c>
      <c r="H53" s="18">
        <f>Primarios!Q43</f>
        <v>0</v>
      </c>
      <c r="I53" s="18">
        <f>Primarios!R43</f>
        <v>0</v>
      </c>
      <c r="J53" s="18">
        <f>Primarios!S43</f>
        <v>0</v>
      </c>
      <c r="K53" s="18">
        <f>Primarios!T43</f>
        <v>0</v>
      </c>
      <c r="L53" s="18">
        <f>Primarios!U43</f>
        <v>0</v>
      </c>
    </row>
    <row r="54" spans="1:12" x14ac:dyDescent="0.2">
      <c r="A54" s="53">
        <v>0.12847222222222199</v>
      </c>
      <c r="B54" s="16">
        <f>Primarios!A44</f>
        <v>38</v>
      </c>
      <c r="C54" s="1">
        <f>Primarios!B44</f>
        <v>0</v>
      </c>
      <c r="D54" s="18">
        <f>Primarios!M44</f>
        <v>0</v>
      </c>
      <c r="E54" s="18">
        <f>Primarios!N44</f>
        <v>0</v>
      </c>
      <c r="F54" s="18">
        <f>Primarios!O44</f>
        <v>0</v>
      </c>
      <c r="G54" s="18">
        <f>Primarios!P44</f>
        <v>0</v>
      </c>
      <c r="H54" s="18">
        <f>Primarios!Q44</f>
        <v>0</v>
      </c>
      <c r="I54" s="18">
        <f>Primarios!R44</f>
        <v>0</v>
      </c>
      <c r="J54" s="18">
        <f>Primarios!S44</f>
        <v>0</v>
      </c>
      <c r="K54" s="18">
        <f>Primarios!T44</f>
        <v>0</v>
      </c>
      <c r="L54" s="18">
        <f>Primarios!U44</f>
        <v>0</v>
      </c>
    </row>
    <row r="55" spans="1:12" x14ac:dyDescent="0.2">
      <c r="A55" s="51">
        <v>0.131944444444444</v>
      </c>
      <c r="B55" s="16">
        <f>Primarios!A45</f>
        <v>39</v>
      </c>
      <c r="C55" s="1">
        <f>Primarios!B45</f>
        <v>0</v>
      </c>
      <c r="D55" s="18">
        <f>Primarios!M45</f>
        <v>0</v>
      </c>
      <c r="E55" s="18">
        <f>Primarios!N45</f>
        <v>0</v>
      </c>
      <c r="F55" s="18">
        <f>Primarios!O45</f>
        <v>0</v>
      </c>
      <c r="G55" s="18">
        <f>Primarios!P45</f>
        <v>0</v>
      </c>
      <c r="H55" s="18">
        <f>Primarios!Q45</f>
        <v>0</v>
      </c>
      <c r="I55" s="18">
        <f>Primarios!R45</f>
        <v>0</v>
      </c>
      <c r="J55" s="18">
        <f>Primarios!S45</f>
        <v>0</v>
      </c>
      <c r="K55" s="18">
        <f>Primarios!T45</f>
        <v>0</v>
      </c>
      <c r="L55" s="18">
        <f>Primarios!U45</f>
        <v>0</v>
      </c>
    </row>
    <row r="56" spans="1:12" x14ac:dyDescent="0.2">
      <c r="A56" s="53">
        <v>0.13541666666666699</v>
      </c>
      <c r="B56" s="16">
        <f>Primarios!A46</f>
        <v>40</v>
      </c>
      <c r="C56" s="1">
        <f>Primarios!B46</f>
        <v>0</v>
      </c>
      <c r="D56" s="18">
        <f>Primarios!M46</f>
        <v>0</v>
      </c>
      <c r="E56" s="18">
        <f>Primarios!N46</f>
        <v>0</v>
      </c>
      <c r="F56" s="18">
        <f>Primarios!O46</f>
        <v>0</v>
      </c>
      <c r="G56" s="18">
        <f>Primarios!P46</f>
        <v>0</v>
      </c>
      <c r="H56" s="18">
        <f>Primarios!Q46</f>
        <v>0</v>
      </c>
      <c r="I56" s="18">
        <f>Primarios!R46</f>
        <v>0</v>
      </c>
      <c r="J56" s="18">
        <f>Primarios!S46</f>
        <v>0</v>
      </c>
      <c r="K56" s="18">
        <f>Primarios!T46</f>
        <v>0</v>
      </c>
      <c r="L56" s="18">
        <f>Primarios!U46</f>
        <v>0</v>
      </c>
    </row>
    <row r="57" spans="1:12" x14ac:dyDescent="0.2">
      <c r="A57" s="51">
        <v>0.13888888888888901</v>
      </c>
      <c r="B57" s="16">
        <f>Primarios!A47</f>
        <v>41</v>
      </c>
      <c r="C57" s="1">
        <f>Primarios!B47</f>
        <v>0</v>
      </c>
      <c r="D57" s="18">
        <f>Primarios!M47</f>
        <v>0</v>
      </c>
      <c r="E57" s="18">
        <f>Primarios!N47</f>
        <v>0</v>
      </c>
      <c r="F57" s="18">
        <f>Primarios!O47</f>
        <v>0</v>
      </c>
      <c r="G57" s="18">
        <f>Primarios!P47</f>
        <v>0</v>
      </c>
      <c r="H57" s="18">
        <f>Primarios!Q47</f>
        <v>0</v>
      </c>
      <c r="I57" s="18">
        <f>Primarios!R47</f>
        <v>0</v>
      </c>
      <c r="J57" s="18">
        <f>Primarios!S47</f>
        <v>0</v>
      </c>
      <c r="K57" s="18">
        <f>Primarios!T47</f>
        <v>0</v>
      </c>
      <c r="L57" s="18">
        <f>Primarios!U47</f>
        <v>0</v>
      </c>
    </row>
    <row r="58" spans="1:12" x14ac:dyDescent="0.2">
      <c r="A58" s="53">
        <v>0.14236111111111099</v>
      </c>
      <c r="B58" s="16">
        <f>Primarios!A48</f>
        <v>42</v>
      </c>
      <c r="C58" s="1">
        <f>Primarios!B48</f>
        <v>0</v>
      </c>
      <c r="D58" s="18">
        <f>Primarios!M48</f>
        <v>0</v>
      </c>
      <c r="E58" s="18">
        <f>Primarios!N48</f>
        <v>0</v>
      </c>
      <c r="F58" s="18">
        <f>Primarios!O48</f>
        <v>0</v>
      </c>
      <c r="G58" s="18">
        <f>Primarios!P48</f>
        <v>0</v>
      </c>
      <c r="H58" s="18">
        <f>Primarios!Q48</f>
        <v>0</v>
      </c>
      <c r="I58" s="18">
        <f>Primarios!R48</f>
        <v>0</v>
      </c>
      <c r="J58" s="18">
        <f>Primarios!S48</f>
        <v>0</v>
      </c>
      <c r="K58" s="18">
        <f>Primarios!T48</f>
        <v>0</v>
      </c>
      <c r="L58" s="18">
        <f>Primarios!U48</f>
        <v>0</v>
      </c>
    </row>
    <row r="59" spans="1:12" x14ac:dyDescent="0.2">
      <c r="A59" s="51">
        <v>0.14583333333333301</v>
      </c>
      <c r="B59" s="16">
        <f>Primarios!A49</f>
        <v>43</v>
      </c>
      <c r="C59" s="1">
        <f>Primarios!B49</f>
        <v>0</v>
      </c>
      <c r="D59" s="18">
        <f>Primarios!M49</f>
        <v>0</v>
      </c>
      <c r="E59" s="18">
        <f>Primarios!N49</f>
        <v>0</v>
      </c>
      <c r="F59" s="18">
        <f>Primarios!O49</f>
        <v>0</v>
      </c>
      <c r="G59" s="18">
        <f>Primarios!P49</f>
        <v>0</v>
      </c>
      <c r="H59" s="18">
        <f>Primarios!Q49</f>
        <v>0</v>
      </c>
      <c r="I59" s="18">
        <f>Primarios!R49</f>
        <v>0</v>
      </c>
      <c r="J59" s="18">
        <f>Primarios!S49</f>
        <v>0</v>
      </c>
      <c r="K59" s="18">
        <f>Primarios!T49</f>
        <v>0</v>
      </c>
      <c r="L59" s="18">
        <f>Primarios!U49</f>
        <v>0</v>
      </c>
    </row>
    <row r="60" spans="1:12" x14ac:dyDescent="0.2">
      <c r="A60" s="53">
        <v>0.149305555555556</v>
      </c>
      <c r="B60" s="16">
        <f>Primarios!A50</f>
        <v>44</v>
      </c>
      <c r="C60" s="1">
        <f>Primarios!B50</f>
        <v>0</v>
      </c>
      <c r="D60" s="18">
        <f>Primarios!M50</f>
        <v>0</v>
      </c>
      <c r="E60" s="18">
        <f>Primarios!N50</f>
        <v>0</v>
      </c>
      <c r="F60" s="18">
        <f>Primarios!O50</f>
        <v>0</v>
      </c>
      <c r="G60" s="18">
        <f>Primarios!P50</f>
        <v>0</v>
      </c>
      <c r="H60" s="18">
        <f>Primarios!Q50</f>
        <v>0</v>
      </c>
      <c r="I60" s="18">
        <f>Primarios!R50</f>
        <v>0</v>
      </c>
      <c r="J60" s="18">
        <f>Primarios!S50</f>
        <v>0</v>
      </c>
      <c r="K60" s="18">
        <f>Primarios!T50</f>
        <v>0</v>
      </c>
      <c r="L60" s="18">
        <f>Primarios!U50</f>
        <v>0</v>
      </c>
    </row>
    <row r="61" spans="1:12" x14ac:dyDescent="0.2">
      <c r="A61" s="51">
        <v>0.15277777777777801</v>
      </c>
      <c r="B61" s="16">
        <f>Primarios!A51</f>
        <v>45</v>
      </c>
      <c r="C61" s="1">
        <f>Primarios!B51</f>
        <v>0</v>
      </c>
      <c r="D61" s="18">
        <f>Primarios!M51</f>
        <v>0</v>
      </c>
      <c r="E61" s="18">
        <f>Primarios!N51</f>
        <v>0</v>
      </c>
      <c r="F61" s="18">
        <f>Primarios!O51</f>
        <v>0</v>
      </c>
      <c r="G61" s="18">
        <f>Primarios!P51</f>
        <v>0</v>
      </c>
      <c r="H61" s="18">
        <f>Primarios!Q51</f>
        <v>0</v>
      </c>
      <c r="I61" s="18">
        <f>Primarios!R51</f>
        <v>0</v>
      </c>
      <c r="J61" s="18">
        <f>Primarios!S51</f>
        <v>0</v>
      </c>
      <c r="K61" s="18">
        <f>Primarios!T51</f>
        <v>0</v>
      </c>
      <c r="L61" s="18">
        <f>Primarios!U51</f>
        <v>0</v>
      </c>
    </row>
    <row r="62" spans="1:12" x14ac:dyDescent="0.2">
      <c r="A62" s="53">
        <v>0.15625</v>
      </c>
      <c r="B62" s="16">
        <f>Primarios!A52</f>
        <v>46</v>
      </c>
      <c r="C62" s="1">
        <f>Primarios!B52</f>
        <v>0</v>
      </c>
      <c r="D62" s="18">
        <f>Primarios!M52</f>
        <v>0</v>
      </c>
      <c r="E62" s="18">
        <f>Primarios!N52</f>
        <v>0</v>
      </c>
      <c r="F62" s="18">
        <f>Primarios!O52</f>
        <v>0</v>
      </c>
      <c r="G62" s="18">
        <f>Primarios!P52</f>
        <v>0</v>
      </c>
      <c r="H62" s="18">
        <f>Primarios!Q52</f>
        <v>0</v>
      </c>
      <c r="I62" s="18">
        <f>Primarios!R52</f>
        <v>0</v>
      </c>
      <c r="J62" s="18">
        <f>Primarios!S52</f>
        <v>0</v>
      </c>
      <c r="K62" s="18">
        <f>Primarios!T52</f>
        <v>0</v>
      </c>
      <c r="L62" s="18">
        <f>Primarios!U52</f>
        <v>0</v>
      </c>
    </row>
    <row r="63" spans="1:12" x14ac:dyDescent="0.2">
      <c r="A63" s="51">
        <v>0.15972222222222199</v>
      </c>
      <c r="B63" s="16">
        <f>Primarios!A53</f>
        <v>47</v>
      </c>
      <c r="C63" s="1">
        <f>Primarios!B53</f>
        <v>0</v>
      </c>
      <c r="D63" s="18">
        <f>Primarios!M53</f>
        <v>0</v>
      </c>
      <c r="E63" s="18">
        <f>Primarios!N53</f>
        <v>0</v>
      </c>
      <c r="F63" s="18">
        <f>Primarios!O53</f>
        <v>0</v>
      </c>
      <c r="G63" s="18">
        <f>Primarios!P53</f>
        <v>0</v>
      </c>
      <c r="H63" s="18">
        <f>Primarios!Q53</f>
        <v>0</v>
      </c>
      <c r="I63" s="18">
        <f>Primarios!R53</f>
        <v>0</v>
      </c>
      <c r="J63" s="18">
        <f>Primarios!S53</f>
        <v>0</v>
      </c>
      <c r="K63" s="18">
        <f>Primarios!T53</f>
        <v>0</v>
      </c>
      <c r="L63" s="18">
        <f>Primarios!U53</f>
        <v>0</v>
      </c>
    </row>
    <row r="64" spans="1:12" x14ac:dyDescent="0.2">
      <c r="A64" s="53">
        <v>0.163194444444444</v>
      </c>
      <c r="B64" s="16">
        <f>Primarios!A54</f>
        <v>48</v>
      </c>
      <c r="C64" s="1">
        <f>Primarios!B54</f>
        <v>0</v>
      </c>
      <c r="D64" s="18">
        <f>Primarios!M54</f>
        <v>0</v>
      </c>
      <c r="E64" s="18">
        <f>Primarios!N54</f>
        <v>0</v>
      </c>
      <c r="F64" s="18">
        <f>Primarios!O54</f>
        <v>0</v>
      </c>
      <c r="G64" s="18">
        <f>Primarios!P54</f>
        <v>0</v>
      </c>
      <c r="H64" s="18">
        <f>Primarios!Q54</f>
        <v>0</v>
      </c>
      <c r="I64" s="18">
        <f>Primarios!R54</f>
        <v>0</v>
      </c>
      <c r="J64" s="18">
        <f>Primarios!S54</f>
        <v>0</v>
      </c>
      <c r="K64" s="18">
        <f>Primarios!T54</f>
        <v>0</v>
      </c>
      <c r="L64" s="18">
        <f>Primarios!U54</f>
        <v>0</v>
      </c>
    </row>
    <row r="65" spans="1:12" x14ac:dyDescent="0.2">
      <c r="A65" s="51">
        <v>0.16666666666666699</v>
      </c>
      <c r="B65" s="16">
        <f>Primarios!A55</f>
        <v>49</v>
      </c>
      <c r="C65" s="1">
        <f>Primarios!B55</f>
        <v>0</v>
      </c>
      <c r="D65" s="18">
        <f>Primarios!M55</f>
        <v>0</v>
      </c>
      <c r="E65" s="18">
        <f>Primarios!N55</f>
        <v>0</v>
      </c>
      <c r="F65" s="18">
        <f>Primarios!O55</f>
        <v>0</v>
      </c>
      <c r="G65" s="18">
        <f>Primarios!P55</f>
        <v>0</v>
      </c>
      <c r="H65" s="18">
        <f>Primarios!Q55</f>
        <v>0</v>
      </c>
      <c r="I65" s="18">
        <f>Primarios!R55</f>
        <v>0</v>
      </c>
      <c r="J65" s="18">
        <f>Primarios!S55</f>
        <v>0</v>
      </c>
      <c r="K65" s="18">
        <f>Primarios!T55</f>
        <v>0</v>
      </c>
      <c r="L65" s="18">
        <f>Primarios!U55</f>
        <v>0</v>
      </c>
    </row>
    <row r="66" spans="1:12" x14ac:dyDescent="0.2">
      <c r="A66" s="53">
        <v>0.17013888888888901</v>
      </c>
      <c r="B66" s="16">
        <f>Primarios!A56</f>
        <v>50</v>
      </c>
      <c r="C66" s="1">
        <f>Primarios!B56</f>
        <v>0</v>
      </c>
      <c r="D66" s="18">
        <f>Primarios!M56</f>
        <v>0</v>
      </c>
      <c r="E66" s="18">
        <f>Primarios!N56</f>
        <v>0</v>
      </c>
      <c r="F66" s="18">
        <f>Primarios!O56</f>
        <v>0</v>
      </c>
      <c r="G66" s="18">
        <f>Primarios!P56</f>
        <v>0</v>
      </c>
      <c r="H66" s="18">
        <f>Primarios!Q56</f>
        <v>0</v>
      </c>
      <c r="I66" s="18">
        <f>Primarios!R56</f>
        <v>0</v>
      </c>
      <c r="J66" s="18">
        <f>Primarios!S56</f>
        <v>0</v>
      </c>
      <c r="K66" s="18">
        <f>Primarios!T56</f>
        <v>0</v>
      </c>
      <c r="L66" s="18">
        <f>Primarios!U56</f>
        <v>0</v>
      </c>
    </row>
    <row r="67" spans="1:12" x14ac:dyDescent="0.2">
      <c r="A67" s="51">
        <v>0.17361111111111099</v>
      </c>
      <c r="B67" s="16">
        <f>Primarios!A57</f>
        <v>51</v>
      </c>
      <c r="C67" s="1">
        <f>Primarios!B57</f>
        <v>0</v>
      </c>
      <c r="D67" s="18">
        <f>Primarios!M57</f>
        <v>0</v>
      </c>
      <c r="E67" s="18">
        <f>Primarios!N57</f>
        <v>0</v>
      </c>
      <c r="F67" s="18">
        <f>Primarios!O57</f>
        <v>0</v>
      </c>
      <c r="G67" s="18">
        <f>Primarios!P57</f>
        <v>0</v>
      </c>
      <c r="H67" s="18">
        <f>Primarios!Q57</f>
        <v>0</v>
      </c>
      <c r="I67" s="18">
        <f>Primarios!R57</f>
        <v>0</v>
      </c>
      <c r="J67" s="18">
        <f>Primarios!S57</f>
        <v>0</v>
      </c>
      <c r="K67" s="18">
        <f>Primarios!T57</f>
        <v>0</v>
      </c>
      <c r="L67" s="18">
        <f>Primarios!U57</f>
        <v>0</v>
      </c>
    </row>
    <row r="68" spans="1:12" x14ac:dyDescent="0.2">
      <c r="A68" s="53">
        <v>0.17708333333333301</v>
      </c>
      <c r="B68" s="16">
        <f>Primarios!A58</f>
        <v>52</v>
      </c>
      <c r="C68" s="1">
        <f>Primarios!B58</f>
        <v>0</v>
      </c>
      <c r="D68" s="18">
        <f>Primarios!M58</f>
        <v>0</v>
      </c>
      <c r="E68" s="18">
        <f>Primarios!N58</f>
        <v>0</v>
      </c>
      <c r="F68" s="18">
        <f>Primarios!O58</f>
        <v>0</v>
      </c>
      <c r="G68" s="18">
        <f>Primarios!P58</f>
        <v>0</v>
      </c>
      <c r="H68" s="18">
        <f>Primarios!Q58</f>
        <v>0</v>
      </c>
      <c r="I68" s="18">
        <f>Primarios!R58</f>
        <v>0</v>
      </c>
      <c r="J68" s="18">
        <f>Primarios!S58</f>
        <v>0</v>
      </c>
      <c r="K68" s="18">
        <f>Primarios!T58</f>
        <v>0</v>
      </c>
      <c r="L68" s="18">
        <f>Primarios!U58</f>
        <v>0</v>
      </c>
    </row>
    <row r="69" spans="1:12" x14ac:dyDescent="0.2">
      <c r="A69" s="51">
        <v>0.180555555555556</v>
      </c>
      <c r="B69" s="16">
        <f>Primarios!A59</f>
        <v>53</v>
      </c>
      <c r="C69" s="1">
        <f>Primarios!B59</f>
        <v>0</v>
      </c>
      <c r="D69" s="18">
        <f>Primarios!M59</f>
        <v>0</v>
      </c>
      <c r="E69" s="18">
        <f>Primarios!N59</f>
        <v>0</v>
      </c>
      <c r="F69" s="18">
        <f>Primarios!O59</f>
        <v>0</v>
      </c>
      <c r="G69" s="18">
        <f>Primarios!P59</f>
        <v>0</v>
      </c>
      <c r="H69" s="18">
        <f>Primarios!Q59</f>
        <v>0</v>
      </c>
      <c r="I69" s="18">
        <f>Primarios!R59</f>
        <v>0</v>
      </c>
      <c r="J69" s="18">
        <f>Primarios!S59</f>
        <v>0</v>
      </c>
      <c r="K69" s="18">
        <f>Primarios!T59</f>
        <v>0</v>
      </c>
      <c r="L69" s="18">
        <f>Primarios!U59</f>
        <v>0</v>
      </c>
    </row>
    <row r="70" spans="1:12" x14ac:dyDescent="0.2">
      <c r="A70" s="53">
        <v>0.18402777777777801</v>
      </c>
      <c r="B70" s="16">
        <f>Primarios!A60</f>
        <v>54</v>
      </c>
      <c r="C70" s="1">
        <f>Primarios!B60</f>
        <v>0</v>
      </c>
      <c r="D70" s="18">
        <f>Primarios!M60</f>
        <v>0</v>
      </c>
      <c r="E70" s="18">
        <f>Primarios!N60</f>
        <v>0</v>
      </c>
      <c r="F70" s="18">
        <f>Primarios!O60</f>
        <v>0</v>
      </c>
      <c r="G70" s="18">
        <f>Primarios!P60</f>
        <v>0</v>
      </c>
      <c r="H70" s="18">
        <f>Primarios!Q60</f>
        <v>0</v>
      </c>
      <c r="I70" s="18">
        <f>Primarios!R60</f>
        <v>0</v>
      </c>
      <c r="J70" s="18">
        <f>Primarios!S60</f>
        <v>0</v>
      </c>
      <c r="K70" s="18">
        <f>Primarios!T60</f>
        <v>0</v>
      </c>
      <c r="L70" s="18">
        <f>Primarios!U60</f>
        <v>0</v>
      </c>
    </row>
    <row r="71" spans="1:12" x14ac:dyDescent="0.2">
      <c r="A71" s="51">
        <v>0.1875</v>
      </c>
      <c r="B71" s="16">
        <f>Primarios!A61</f>
        <v>55</v>
      </c>
      <c r="C71" s="1">
        <f>Primarios!B61</f>
        <v>0</v>
      </c>
      <c r="D71" s="18">
        <f>Primarios!M61</f>
        <v>0</v>
      </c>
      <c r="E71" s="18">
        <f>Primarios!N61</f>
        <v>0</v>
      </c>
      <c r="F71" s="18">
        <f>Primarios!O61</f>
        <v>0</v>
      </c>
      <c r="G71" s="18">
        <f>Primarios!P61</f>
        <v>0</v>
      </c>
      <c r="H71" s="18">
        <f>Primarios!Q61</f>
        <v>0</v>
      </c>
      <c r="I71" s="18">
        <f>Primarios!R61</f>
        <v>0</v>
      </c>
      <c r="J71" s="18">
        <f>Primarios!S61</f>
        <v>0</v>
      </c>
      <c r="K71" s="18">
        <f>Primarios!T61</f>
        <v>0</v>
      </c>
      <c r="L71" s="18">
        <f>Primarios!U61</f>
        <v>0</v>
      </c>
    </row>
    <row r="72" spans="1:12" x14ac:dyDescent="0.2">
      <c r="A72" s="53">
        <v>0.19097222222222199</v>
      </c>
      <c r="B72" s="16">
        <f>Primarios!A62</f>
        <v>56</v>
      </c>
      <c r="C72" s="1">
        <f>Primarios!B62</f>
        <v>0</v>
      </c>
      <c r="D72" s="18">
        <f>Primarios!M62</f>
        <v>0</v>
      </c>
      <c r="E72" s="18">
        <f>Primarios!N62</f>
        <v>0</v>
      </c>
      <c r="F72" s="18">
        <f>Primarios!O62</f>
        <v>0</v>
      </c>
      <c r="G72" s="18">
        <f>Primarios!P62</f>
        <v>0</v>
      </c>
      <c r="H72" s="18">
        <f>Primarios!Q62</f>
        <v>0</v>
      </c>
      <c r="I72" s="18">
        <f>Primarios!R62</f>
        <v>0</v>
      </c>
      <c r="J72" s="18">
        <f>Primarios!S62</f>
        <v>0</v>
      </c>
      <c r="K72" s="18">
        <f>Primarios!T62</f>
        <v>0</v>
      </c>
      <c r="L72" s="18">
        <f>Primarios!U62</f>
        <v>0</v>
      </c>
    </row>
    <row r="73" spans="1:12" x14ac:dyDescent="0.2">
      <c r="A73" s="51">
        <v>0.194444444444444</v>
      </c>
      <c r="B73" s="16">
        <f>Primarios!A63</f>
        <v>57</v>
      </c>
      <c r="C73" s="1">
        <f>Primarios!B63</f>
        <v>0</v>
      </c>
      <c r="D73" s="18">
        <f>Primarios!M63</f>
        <v>0</v>
      </c>
      <c r="E73" s="18">
        <f>Primarios!N63</f>
        <v>0</v>
      </c>
      <c r="F73" s="18">
        <f>Primarios!O63</f>
        <v>0</v>
      </c>
      <c r="G73" s="18">
        <f>Primarios!P63</f>
        <v>0</v>
      </c>
      <c r="H73" s="18">
        <f>Primarios!Q63</f>
        <v>0</v>
      </c>
      <c r="I73" s="18">
        <f>Primarios!R63</f>
        <v>0</v>
      </c>
      <c r="J73" s="18">
        <f>Primarios!S63</f>
        <v>0</v>
      </c>
      <c r="K73" s="18">
        <f>Primarios!T63</f>
        <v>0</v>
      </c>
      <c r="L73" s="18">
        <f>Primarios!U63</f>
        <v>0</v>
      </c>
    </row>
    <row r="74" spans="1:12" x14ac:dyDescent="0.2">
      <c r="A74" s="53">
        <v>0.19791666666666699</v>
      </c>
      <c r="B74" s="16">
        <f>Primarios!A64</f>
        <v>58</v>
      </c>
      <c r="C74" s="1">
        <f>Primarios!B64</f>
        <v>0</v>
      </c>
      <c r="D74" s="18">
        <f>Primarios!M64</f>
        <v>0</v>
      </c>
      <c r="E74" s="18">
        <f>Primarios!N64</f>
        <v>0</v>
      </c>
      <c r="F74" s="18">
        <f>Primarios!O64</f>
        <v>0</v>
      </c>
      <c r="G74" s="18">
        <f>Primarios!P64</f>
        <v>0</v>
      </c>
      <c r="H74" s="18">
        <f>Primarios!Q64</f>
        <v>0</v>
      </c>
      <c r="I74" s="18">
        <f>Primarios!R64</f>
        <v>0</v>
      </c>
      <c r="J74" s="18">
        <f>Primarios!S64</f>
        <v>0</v>
      </c>
      <c r="K74" s="18">
        <f>Primarios!T64</f>
        <v>0</v>
      </c>
      <c r="L74" s="18">
        <f>Primarios!U64</f>
        <v>0</v>
      </c>
    </row>
    <row r="75" spans="1:12" x14ac:dyDescent="0.2">
      <c r="A75" s="51">
        <v>0.20138888888888901</v>
      </c>
      <c r="B75" s="16">
        <f>Primarios!A65</f>
        <v>59</v>
      </c>
      <c r="C75" s="1">
        <f>Primarios!B65</f>
        <v>0</v>
      </c>
      <c r="D75" s="18">
        <f>Primarios!M65</f>
        <v>0</v>
      </c>
      <c r="E75" s="18">
        <f>Primarios!N65</f>
        <v>0</v>
      </c>
      <c r="F75" s="18">
        <f>Primarios!O65</f>
        <v>0</v>
      </c>
      <c r="G75" s="18">
        <f>Primarios!P65</f>
        <v>0</v>
      </c>
      <c r="H75" s="18">
        <f>Primarios!Q65</f>
        <v>0</v>
      </c>
      <c r="I75" s="18">
        <f>Primarios!R65</f>
        <v>0</v>
      </c>
      <c r="J75" s="18">
        <f>Primarios!S65</f>
        <v>0</v>
      </c>
      <c r="K75" s="18">
        <f>Primarios!T65</f>
        <v>0</v>
      </c>
      <c r="L75" s="18">
        <f>Primarios!U65</f>
        <v>0</v>
      </c>
    </row>
    <row r="76" spans="1:12" x14ac:dyDescent="0.2">
      <c r="A76" s="53">
        <v>0.20486111111111099</v>
      </c>
      <c r="B76" s="16">
        <f>Primarios!A66</f>
        <v>60</v>
      </c>
      <c r="C76" s="1">
        <f>Primarios!B66</f>
        <v>0</v>
      </c>
      <c r="D76" s="18">
        <f>Primarios!M66</f>
        <v>0</v>
      </c>
      <c r="E76" s="18">
        <f>Primarios!N66</f>
        <v>0</v>
      </c>
      <c r="F76" s="18">
        <f>Primarios!O66</f>
        <v>0</v>
      </c>
      <c r="G76" s="18">
        <f>Primarios!P66</f>
        <v>0</v>
      </c>
      <c r="H76" s="18">
        <f>Primarios!Q66</f>
        <v>0</v>
      </c>
      <c r="I76" s="18">
        <f>Primarios!R66</f>
        <v>0</v>
      </c>
      <c r="J76" s="18">
        <f>Primarios!S66</f>
        <v>0</v>
      </c>
      <c r="K76" s="18">
        <f>Primarios!T66</f>
        <v>0</v>
      </c>
      <c r="L76" s="18">
        <f>Primarios!U66</f>
        <v>0</v>
      </c>
    </row>
    <row r="77" spans="1:12" x14ac:dyDescent="0.2">
      <c r="A77" s="51">
        <v>0.20833333333333301</v>
      </c>
      <c r="B77" s="16">
        <f>Primarios!A67</f>
        <v>61</v>
      </c>
      <c r="C77" s="1">
        <f>Primarios!B67</f>
        <v>0</v>
      </c>
      <c r="D77" s="18">
        <f>Primarios!M67</f>
        <v>0</v>
      </c>
      <c r="E77" s="18">
        <f>Primarios!N67</f>
        <v>0</v>
      </c>
      <c r="F77" s="18">
        <f>Primarios!O67</f>
        <v>0</v>
      </c>
      <c r="G77" s="18">
        <f>Primarios!P67</f>
        <v>0</v>
      </c>
      <c r="H77" s="18">
        <f>Primarios!Q67</f>
        <v>0</v>
      </c>
      <c r="I77" s="18">
        <f>Primarios!R67</f>
        <v>0</v>
      </c>
      <c r="J77" s="18">
        <f>Primarios!S67</f>
        <v>0</v>
      </c>
      <c r="K77" s="18">
        <f>Primarios!T67</f>
        <v>0</v>
      </c>
      <c r="L77" s="18">
        <f>Primarios!U67</f>
        <v>0</v>
      </c>
    </row>
    <row r="78" spans="1:12" x14ac:dyDescent="0.2">
      <c r="A78" s="53">
        <v>0.211805555555556</v>
      </c>
      <c r="B78" s="16">
        <f>Primarios!A68</f>
        <v>62</v>
      </c>
      <c r="C78" s="1">
        <f>Primarios!B68</f>
        <v>0</v>
      </c>
      <c r="D78" s="18">
        <f>Primarios!M68</f>
        <v>0</v>
      </c>
      <c r="E78" s="18">
        <f>Primarios!N68</f>
        <v>0</v>
      </c>
      <c r="F78" s="18">
        <f>Primarios!O68</f>
        <v>0</v>
      </c>
      <c r="G78" s="18">
        <f>Primarios!P68</f>
        <v>0</v>
      </c>
      <c r="H78" s="18">
        <f>Primarios!Q68</f>
        <v>0</v>
      </c>
      <c r="I78" s="18">
        <f>Primarios!R68</f>
        <v>0</v>
      </c>
      <c r="J78" s="18">
        <f>Primarios!S68</f>
        <v>0</v>
      </c>
      <c r="K78" s="18">
        <f>Primarios!T68</f>
        <v>0</v>
      </c>
      <c r="L78" s="18">
        <f>Primarios!U68</f>
        <v>0</v>
      </c>
    </row>
    <row r="79" spans="1:12" x14ac:dyDescent="0.2">
      <c r="A79" s="51">
        <v>0.21527777777777801</v>
      </c>
      <c r="B79" s="16">
        <f>Primarios!A69</f>
        <v>63</v>
      </c>
      <c r="C79" s="1">
        <f>Primarios!B69</f>
        <v>0</v>
      </c>
      <c r="D79" s="18">
        <f>Primarios!M69</f>
        <v>0</v>
      </c>
      <c r="E79" s="18">
        <f>Primarios!N69</f>
        <v>0</v>
      </c>
      <c r="F79" s="18">
        <f>Primarios!O69</f>
        <v>0</v>
      </c>
      <c r="G79" s="18">
        <f>Primarios!P69</f>
        <v>0</v>
      </c>
      <c r="H79" s="18">
        <f>Primarios!Q69</f>
        <v>0</v>
      </c>
      <c r="I79" s="18">
        <f>Primarios!R69</f>
        <v>0</v>
      </c>
      <c r="J79" s="18">
        <f>Primarios!S69</f>
        <v>0</v>
      </c>
      <c r="K79" s="18">
        <f>Primarios!T69</f>
        <v>0</v>
      </c>
      <c r="L79" s="18">
        <f>Primarios!U69</f>
        <v>0</v>
      </c>
    </row>
    <row r="80" spans="1:12" x14ac:dyDescent="0.2">
      <c r="A80" s="53">
        <v>0.21875</v>
      </c>
      <c r="B80" s="16">
        <f>Primarios!A70</f>
        <v>64</v>
      </c>
      <c r="C80" s="1">
        <f>Primarios!B70</f>
        <v>0</v>
      </c>
      <c r="D80" s="18">
        <f>Primarios!M70</f>
        <v>0</v>
      </c>
      <c r="E80" s="18">
        <f>Primarios!N70</f>
        <v>0</v>
      </c>
      <c r="F80" s="18">
        <f>Primarios!O70</f>
        <v>0</v>
      </c>
      <c r="G80" s="18">
        <f>Primarios!P70</f>
        <v>0</v>
      </c>
      <c r="H80" s="18">
        <f>Primarios!Q70</f>
        <v>0</v>
      </c>
      <c r="I80" s="18">
        <f>Primarios!R70</f>
        <v>0</v>
      </c>
      <c r="J80" s="18">
        <f>Primarios!S70</f>
        <v>0</v>
      </c>
      <c r="K80" s="18">
        <f>Primarios!T70</f>
        <v>0</v>
      </c>
      <c r="L80" s="18">
        <f>Primarios!U70</f>
        <v>0</v>
      </c>
    </row>
    <row r="81" spans="1:12" x14ac:dyDescent="0.2">
      <c r="A81" s="51">
        <v>0.22222222222222199</v>
      </c>
      <c r="B81" s="16">
        <f>Primarios!A71</f>
        <v>65</v>
      </c>
      <c r="C81" s="1">
        <f>Primarios!B71</f>
        <v>0</v>
      </c>
      <c r="D81" s="18">
        <f>Primarios!M71</f>
        <v>0</v>
      </c>
      <c r="E81" s="18">
        <f>Primarios!N71</f>
        <v>0</v>
      </c>
      <c r="F81" s="18">
        <f>Primarios!O71</f>
        <v>0</v>
      </c>
      <c r="G81" s="18">
        <f>Primarios!P71</f>
        <v>0</v>
      </c>
      <c r="H81" s="18">
        <f>Primarios!Q71</f>
        <v>0</v>
      </c>
      <c r="I81" s="18">
        <f>Primarios!R71</f>
        <v>0</v>
      </c>
      <c r="J81" s="18">
        <f>Primarios!S71</f>
        <v>0</v>
      </c>
      <c r="K81" s="18">
        <f>Primarios!T71</f>
        <v>0</v>
      </c>
      <c r="L81" s="18">
        <f>Primarios!U71</f>
        <v>0</v>
      </c>
    </row>
    <row r="82" spans="1:12" x14ac:dyDescent="0.2">
      <c r="A82" s="53">
        <v>0.225694444444444</v>
      </c>
      <c r="B82" s="16">
        <f>Primarios!A72</f>
        <v>66</v>
      </c>
      <c r="C82" s="1">
        <f>Primarios!B72</f>
        <v>0</v>
      </c>
      <c r="D82" s="18">
        <f>Primarios!M72</f>
        <v>0</v>
      </c>
      <c r="E82" s="18">
        <f>Primarios!N72</f>
        <v>0</v>
      </c>
      <c r="F82" s="18">
        <f>Primarios!O72</f>
        <v>0</v>
      </c>
      <c r="G82" s="18">
        <f>Primarios!P72</f>
        <v>0</v>
      </c>
      <c r="H82" s="18">
        <f>Primarios!Q72</f>
        <v>0</v>
      </c>
      <c r="I82" s="18">
        <f>Primarios!R72</f>
        <v>0</v>
      </c>
      <c r="J82" s="18">
        <f>Primarios!S72</f>
        <v>0</v>
      </c>
      <c r="K82" s="18">
        <f>Primarios!T72</f>
        <v>0</v>
      </c>
      <c r="L82" s="18">
        <f>Primarios!U72</f>
        <v>0</v>
      </c>
    </row>
    <row r="83" spans="1:12" x14ac:dyDescent="0.2">
      <c r="A83" s="51">
        <v>0.22916666666666699</v>
      </c>
      <c r="B83" s="16">
        <f>Primarios!A73</f>
        <v>67</v>
      </c>
      <c r="C83" s="1">
        <f>Primarios!B73</f>
        <v>0</v>
      </c>
      <c r="D83" s="18">
        <f>Primarios!M73</f>
        <v>0</v>
      </c>
      <c r="E83" s="18">
        <f>Primarios!N73</f>
        <v>0</v>
      </c>
      <c r="F83" s="18">
        <f>Primarios!O73</f>
        <v>0</v>
      </c>
      <c r="G83" s="18">
        <f>Primarios!P73</f>
        <v>0</v>
      </c>
      <c r="H83" s="18">
        <f>Primarios!Q73</f>
        <v>0</v>
      </c>
      <c r="I83" s="18">
        <f>Primarios!R73</f>
        <v>0</v>
      </c>
      <c r="J83" s="18">
        <f>Primarios!S73</f>
        <v>0</v>
      </c>
      <c r="K83" s="18">
        <f>Primarios!T73</f>
        <v>0</v>
      </c>
      <c r="L83" s="18">
        <f>Primarios!U73</f>
        <v>0</v>
      </c>
    </row>
    <row r="84" spans="1:12" x14ac:dyDescent="0.2">
      <c r="A84" s="53">
        <v>0.23263888888888901</v>
      </c>
      <c r="B84" s="16">
        <f>Primarios!A74</f>
        <v>68</v>
      </c>
      <c r="C84" s="1">
        <f>Primarios!B74</f>
        <v>0</v>
      </c>
      <c r="D84" s="18">
        <f>Primarios!M74</f>
        <v>0</v>
      </c>
      <c r="E84" s="18">
        <f>Primarios!N74</f>
        <v>0</v>
      </c>
      <c r="F84" s="18">
        <f>Primarios!O74</f>
        <v>0</v>
      </c>
      <c r="G84" s="18">
        <f>Primarios!P74</f>
        <v>0</v>
      </c>
      <c r="H84" s="18">
        <f>Primarios!Q74</f>
        <v>0</v>
      </c>
      <c r="I84" s="18">
        <f>Primarios!R74</f>
        <v>0</v>
      </c>
      <c r="J84" s="18">
        <f>Primarios!S74</f>
        <v>0</v>
      </c>
      <c r="K84" s="18">
        <f>Primarios!T74</f>
        <v>0</v>
      </c>
      <c r="L84" s="18">
        <f>Primarios!U74</f>
        <v>0</v>
      </c>
    </row>
    <row r="85" spans="1:12" x14ac:dyDescent="0.2">
      <c r="A85" s="51">
        <v>0.23611111111111099</v>
      </c>
      <c r="B85" s="16">
        <f>Primarios!A75</f>
        <v>69</v>
      </c>
      <c r="C85" s="1">
        <f>Primarios!B75</f>
        <v>0</v>
      </c>
      <c r="D85" s="18">
        <f>Primarios!M75</f>
        <v>0</v>
      </c>
      <c r="E85" s="18">
        <f>Primarios!N75</f>
        <v>0</v>
      </c>
      <c r="F85" s="18">
        <f>Primarios!O75</f>
        <v>0</v>
      </c>
      <c r="G85" s="18">
        <f>Primarios!P75</f>
        <v>0</v>
      </c>
      <c r="H85" s="18">
        <f>Primarios!Q75</f>
        <v>0</v>
      </c>
      <c r="I85" s="18">
        <f>Primarios!R75</f>
        <v>0</v>
      </c>
      <c r="J85" s="18">
        <f>Primarios!S75</f>
        <v>0</v>
      </c>
      <c r="K85" s="18">
        <f>Primarios!T75</f>
        <v>0</v>
      </c>
      <c r="L85" s="18">
        <f>Primarios!U75</f>
        <v>0</v>
      </c>
    </row>
    <row r="86" spans="1:12" x14ac:dyDescent="0.2">
      <c r="A86" s="53">
        <v>0.23958333333333301</v>
      </c>
      <c r="B86" s="16">
        <f>Primarios!A76</f>
        <v>70</v>
      </c>
      <c r="C86" s="1">
        <f>Primarios!B76</f>
        <v>0</v>
      </c>
      <c r="D86" s="18">
        <f>Primarios!M76</f>
        <v>0</v>
      </c>
      <c r="E86" s="18">
        <f>Primarios!N76</f>
        <v>0</v>
      </c>
      <c r="F86" s="18">
        <f>Primarios!O76</f>
        <v>0</v>
      </c>
      <c r="G86" s="18">
        <f>Primarios!P76</f>
        <v>0</v>
      </c>
      <c r="H86" s="18">
        <f>Primarios!Q76</f>
        <v>0</v>
      </c>
      <c r="I86" s="18">
        <f>Primarios!R76</f>
        <v>0</v>
      </c>
      <c r="J86" s="18">
        <f>Primarios!S76</f>
        <v>0</v>
      </c>
      <c r="K86" s="18">
        <f>Primarios!T76</f>
        <v>0</v>
      </c>
      <c r="L86" s="18">
        <f>Primarios!U76</f>
        <v>0</v>
      </c>
    </row>
    <row r="87" spans="1:12" x14ac:dyDescent="0.2">
      <c r="A87" s="51">
        <v>0.243055555555556</v>
      </c>
      <c r="B87" s="16">
        <f>Primarios!A77</f>
        <v>71</v>
      </c>
      <c r="C87" s="1">
        <f>Primarios!B77</f>
        <v>0</v>
      </c>
      <c r="D87" s="18">
        <f>Primarios!M77</f>
        <v>0</v>
      </c>
      <c r="E87" s="18">
        <f>Primarios!N77</f>
        <v>0</v>
      </c>
      <c r="F87" s="18">
        <f>Primarios!O77</f>
        <v>0</v>
      </c>
      <c r="G87" s="18">
        <f>Primarios!P77</f>
        <v>0</v>
      </c>
      <c r="H87" s="18">
        <f>Primarios!Q77</f>
        <v>0</v>
      </c>
      <c r="I87" s="18">
        <f>Primarios!R77</f>
        <v>0</v>
      </c>
      <c r="J87" s="18">
        <f>Primarios!S77</f>
        <v>0</v>
      </c>
      <c r="K87" s="18">
        <f>Primarios!T77</f>
        <v>0</v>
      </c>
      <c r="L87" s="18">
        <f>Primarios!U77</f>
        <v>0</v>
      </c>
    </row>
    <row r="88" spans="1:12" x14ac:dyDescent="0.2">
      <c r="A88" s="53">
        <v>0.24652777777777801</v>
      </c>
      <c r="B88" s="16">
        <f>Primarios!A78</f>
        <v>72</v>
      </c>
      <c r="C88" s="1">
        <f>Primarios!B78</f>
        <v>0</v>
      </c>
      <c r="D88" s="18">
        <f>Primarios!M78</f>
        <v>0</v>
      </c>
      <c r="E88" s="18">
        <f>Primarios!N78</f>
        <v>0</v>
      </c>
      <c r="F88" s="18">
        <f>Primarios!O78</f>
        <v>0</v>
      </c>
      <c r="G88" s="18">
        <f>Primarios!P78</f>
        <v>0</v>
      </c>
      <c r="H88" s="18">
        <f>Primarios!Q78</f>
        <v>0</v>
      </c>
      <c r="I88" s="18">
        <f>Primarios!R78</f>
        <v>0</v>
      </c>
      <c r="J88" s="18">
        <f>Primarios!S78</f>
        <v>0</v>
      </c>
      <c r="K88" s="18">
        <f>Primarios!T78</f>
        <v>0</v>
      </c>
      <c r="L88" s="18">
        <f>Primarios!U78</f>
        <v>0</v>
      </c>
    </row>
    <row r="89" spans="1:12" x14ac:dyDescent="0.2">
      <c r="A89" s="51">
        <v>0.25</v>
      </c>
      <c r="B89" s="16">
        <f>Primarios!A79</f>
        <v>73</v>
      </c>
      <c r="C89" s="1">
        <f>Primarios!B79</f>
        <v>0</v>
      </c>
      <c r="D89" s="18">
        <f>Primarios!M79</f>
        <v>0</v>
      </c>
      <c r="E89" s="18">
        <f>Primarios!N79</f>
        <v>0</v>
      </c>
      <c r="F89" s="18">
        <f>Primarios!O79</f>
        <v>0</v>
      </c>
      <c r="G89" s="18">
        <f>Primarios!P79</f>
        <v>0</v>
      </c>
      <c r="H89" s="18">
        <f>Primarios!Q79</f>
        <v>0</v>
      </c>
      <c r="I89" s="18">
        <f>Primarios!R79</f>
        <v>0</v>
      </c>
      <c r="J89" s="18">
        <f>Primarios!S79</f>
        <v>0</v>
      </c>
      <c r="K89" s="18">
        <f>Primarios!T79</f>
        <v>0</v>
      </c>
      <c r="L89" s="18">
        <f>Primarios!U79</f>
        <v>0</v>
      </c>
    </row>
    <row r="90" spans="1:12" x14ac:dyDescent="0.2">
      <c r="A90" s="53">
        <v>0.25347222222222199</v>
      </c>
      <c r="B90" s="16">
        <f>Primarios!A80</f>
        <v>74</v>
      </c>
      <c r="C90" s="1">
        <f>Primarios!B80</f>
        <v>0</v>
      </c>
      <c r="D90" s="18">
        <f>Primarios!M80</f>
        <v>0</v>
      </c>
      <c r="E90" s="18">
        <f>Primarios!N80</f>
        <v>0</v>
      </c>
      <c r="F90" s="18">
        <f>Primarios!O80</f>
        <v>0</v>
      </c>
      <c r="G90" s="18">
        <f>Primarios!P80</f>
        <v>0</v>
      </c>
      <c r="H90" s="18">
        <f>Primarios!Q80</f>
        <v>0</v>
      </c>
      <c r="I90" s="18">
        <f>Primarios!R80</f>
        <v>0</v>
      </c>
      <c r="J90" s="18">
        <f>Primarios!S80</f>
        <v>0</v>
      </c>
      <c r="K90" s="18">
        <f>Primarios!T80</f>
        <v>0</v>
      </c>
      <c r="L90" s="18">
        <f>Primarios!U80</f>
        <v>0</v>
      </c>
    </row>
    <row r="91" spans="1:12" x14ac:dyDescent="0.2">
      <c r="A91" s="51">
        <v>0.25694444444444398</v>
      </c>
      <c r="B91" s="16">
        <f>Primarios!A81</f>
        <v>75</v>
      </c>
      <c r="C91" s="1">
        <f>Primarios!B81</f>
        <v>0</v>
      </c>
      <c r="D91" s="18">
        <f>Primarios!M81</f>
        <v>0</v>
      </c>
      <c r="E91" s="18">
        <f>Primarios!N81</f>
        <v>0</v>
      </c>
      <c r="F91" s="18">
        <f>Primarios!O81</f>
        <v>0</v>
      </c>
      <c r="G91" s="18">
        <f>Primarios!P81</f>
        <v>0</v>
      </c>
      <c r="H91" s="18">
        <f>Primarios!Q81</f>
        <v>0</v>
      </c>
      <c r="I91" s="18">
        <f>Primarios!R81</f>
        <v>0</v>
      </c>
      <c r="J91" s="18">
        <f>Primarios!S81</f>
        <v>0</v>
      </c>
      <c r="K91" s="18">
        <f>Primarios!T81</f>
        <v>0</v>
      </c>
      <c r="L91" s="18">
        <f>Primarios!U81</f>
        <v>0</v>
      </c>
    </row>
    <row r="92" spans="1:12" x14ac:dyDescent="0.2">
      <c r="A92" s="53">
        <v>0.26041666666666702</v>
      </c>
      <c r="B92" s="16">
        <f>Primarios!A82</f>
        <v>76</v>
      </c>
      <c r="C92" s="1">
        <f>Primarios!B82</f>
        <v>0</v>
      </c>
      <c r="D92" s="18">
        <f>Primarios!M82</f>
        <v>0</v>
      </c>
      <c r="E92" s="18">
        <f>Primarios!N82</f>
        <v>0</v>
      </c>
      <c r="F92" s="18">
        <f>Primarios!O82</f>
        <v>0</v>
      </c>
      <c r="G92" s="18">
        <f>Primarios!P82</f>
        <v>0</v>
      </c>
      <c r="H92" s="18">
        <f>Primarios!Q82</f>
        <v>0</v>
      </c>
      <c r="I92" s="18">
        <f>Primarios!R82</f>
        <v>0</v>
      </c>
      <c r="J92" s="18">
        <f>Primarios!S82</f>
        <v>0</v>
      </c>
      <c r="K92" s="18">
        <f>Primarios!T82</f>
        <v>0</v>
      </c>
      <c r="L92" s="18">
        <f>Primarios!U82</f>
        <v>0</v>
      </c>
    </row>
    <row r="93" spans="1:12" x14ac:dyDescent="0.2">
      <c r="A93" s="51">
        <v>0.26388888888888901</v>
      </c>
      <c r="B93" s="16">
        <f>Primarios!A83</f>
        <v>77</v>
      </c>
      <c r="C93" s="1">
        <f>Primarios!B83</f>
        <v>0</v>
      </c>
      <c r="D93" s="18">
        <f>Primarios!M83</f>
        <v>0</v>
      </c>
      <c r="E93" s="18">
        <f>Primarios!N83</f>
        <v>0</v>
      </c>
      <c r="F93" s="18">
        <f>Primarios!O83</f>
        <v>0</v>
      </c>
      <c r="G93" s="18">
        <f>Primarios!P83</f>
        <v>0</v>
      </c>
      <c r="H93" s="18">
        <f>Primarios!Q83</f>
        <v>0</v>
      </c>
      <c r="I93" s="18">
        <f>Primarios!R83</f>
        <v>0</v>
      </c>
      <c r="J93" s="18">
        <f>Primarios!S83</f>
        <v>0</v>
      </c>
      <c r="K93" s="18">
        <f>Primarios!T83</f>
        <v>0</v>
      </c>
      <c r="L93" s="18">
        <f>Primarios!U83</f>
        <v>0</v>
      </c>
    </row>
    <row r="94" spans="1:12" x14ac:dyDescent="0.2">
      <c r="A94" s="53">
        <v>0.26736111111111099</v>
      </c>
      <c r="B94" s="16">
        <f>Primarios!A84</f>
        <v>78</v>
      </c>
      <c r="C94" s="1">
        <f>Primarios!B84</f>
        <v>0</v>
      </c>
      <c r="D94" s="18">
        <f>Primarios!M84</f>
        <v>0</v>
      </c>
      <c r="E94" s="18">
        <f>Primarios!N84</f>
        <v>0</v>
      </c>
      <c r="F94" s="18">
        <f>Primarios!O84</f>
        <v>0</v>
      </c>
      <c r="G94" s="18">
        <f>Primarios!P84</f>
        <v>0</v>
      </c>
      <c r="H94" s="18">
        <f>Primarios!Q84</f>
        <v>0</v>
      </c>
      <c r="I94" s="18">
        <f>Primarios!R84</f>
        <v>0</v>
      </c>
      <c r="J94" s="18">
        <f>Primarios!S84</f>
        <v>0</v>
      </c>
      <c r="K94" s="18">
        <f>Primarios!T84</f>
        <v>0</v>
      </c>
      <c r="L94" s="18">
        <f>Primarios!U84</f>
        <v>0</v>
      </c>
    </row>
    <row r="95" spans="1:12" x14ac:dyDescent="0.2">
      <c r="A95" s="51">
        <v>0.27083333333333298</v>
      </c>
      <c r="B95" s="16">
        <f>Primarios!A85</f>
        <v>79</v>
      </c>
      <c r="C95" s="1">
        <f>Primarios!B85</f>
        <v>0</v>
      </c>
      <c r="D95" s="18">
        <f>Primarios!M85</f>
        <v>0</v>
      </c>
      <c r="E95" s="18">
        <f>Primarios!N85</f>
        <v>0</v>
      </c>
      <c r="F95" s="18">
        <f>Primarios!O85</f>
        <v>0</v>
      </c>
      <c r="G95" s="18">
        <f>Primarios!P85</f>
        <v>0</v>
      </c>
      <c r="H95" s="18">
        <f>Primarios!Q85</f>
        <v>0</v>
      </c>
      <c r="I95" s="18">
        <f>Primarios!R85</f>
        <v>0</v>
      </c>
      <c r="J95" s="18">
        <f>Primarios!S85</f>
        <v>0</v>
      </c>
      <c r="K95" s="18">
        <f>Primarios!T85</f>
        <v>0</v>
      </c>
      <c r="L95" s="18">
        <f>Primarios!U85</f>
        <v>0</v>
      </c>
    </row>
    <row r="96" spans="1:12" x14ac:dyDescent="0.2">
      <c r="A96" s="53">
        <v>0.27430555555555602</v>
      </c>
      <c r="B96" s="16">
        <f>Primarios!A86</f>
        <v>80</v>
      </c>
      <c r="C96" s="1">
        <f>Primarios!B86</f>
        <v>0</v>
      </c>
      <c r="D96" s="18">
        <f>Primarios!M86</f>
        <v>0</v>
      </c>
      <c r="E96" s="18">
        <f>Primarios!N86</f>
        <v>0</v>
      </c>
      <c r="F96" s="18">
        <f>Primarios!O86</f>
        <v>0</v>
      </c>
      <c r="G96" s="18">
        <f>Primarios!P86</f>
        <v>0</v>
      </c>
      <c r="H96" s="18">
        <f>Primarios!Q86</f>
        <v>0</v>
      </c>
      <c r="I96" s="18">
        <f>Primarios!R86</f>
        <v>0</v>
      </c>
      <c r="J96" s="18">
        <f>Primarios!S86</f>
        <v>0</v>
      </c>
      <c r="K96" s="18">
        <f>Primarios!T86</f>
        <v>0</v>
      </c>
      <c r="L96" s="18">
        <f>Primarios!U86</f>
        <v>0</v>
      </c>
    </row>
    <row r="97" spans="1:12" x14ac:dyDescent="0.2">
      <c r="A97" s="51">
        <v>0.27777777777777801</v>
      </c>
      <c r="B97" s="16">
        <f>Primarios!A87</f>
        <v>81</v>
      </c>
      <c r="C97" s="1">
        <f>Primarios!B87</f>
        <v>0</v>
      </c>
      <c r="D97" s="18">
        <f>Primarios!M87</f>
        <v>0</v>
      </c>
      <c r="E97" s="18">
        <f>Primarios!N87</f>
        <v>0</v>
      </c>
      <c r="F97" s="18">
        <f>Primarios!O87</f>
        <v>0</v>
      </c>
      <c r="G97" s="18">
        <f>Primarios!P87</f>
        <v>0</v>
      </c>
      <c r="H97" s="18">
        <f>Primarios!Q87</f>
        <v>0</v>
      </c>
      <c r="I97" s="18">
        <f>Primarios!R87</f>
        <v>0</v>
      </c>
      <c r="J97" s="18">
        <f>Primarios!S87</f>
        <v>0</v>
      </c>
      <c r="K97" s="18">
        <f>Primarios!T87</f>
        <v>0</v>
      </c>
      <c r="L97" s="18">
        <f>Primarios!U87</f>
        <v>0</v>
      </c>
    </row>
    <row r="98" spans="1:12" x14ac:dyDescent="0.2">
      <c r="A98" s="53">
        <v>0.28125</v>
      </c>
      <c r="B98" s="16">
        <f>Primarios!A88</f>
        <v>82</v>
      </c>
      <c r="C98" s="1">
        <f>Primarios!B88</f>
        <v>0</v>
      </c>
      <c r="D98" s="18">
        <f>Primarios!M88</f>
        <v>0</v>
      </c>
      <c r="E98" s="18">
        <f>Primarios!N88</f>
        <v>0</v>
      </c>
      <c r="F98" s="18">
        <f>Primarios!O88</f>
        <v>0</v>
      </c>
      <c r="G98" s="18">
        <f>Primarios!P88</f>
        <v>0</v>
      </c>
      <c r="H98" s="18">
        <f>Primarios!Q88</f>
        <v>0</v>
      </c>
      <c r="I98" s="18">
        <f>Primarios!R88</f>
        <v>0</v>
      </c>
      <c r="J98" s="18">
        <f>Primarios!S88</f>
        <v>0</v>
      </c>
      <c r="K98" s="18">
        <f>Primarios!T88</f>
        <v>0</v>
      </c>
      <c r="L98" s="18">
        <f>Primarios!U88</f>
        <v>0</v>
      </c>
    </row>
    <row r="99" spans="1:12" x14ac:dyDescent="0.2">
      <c r="A99" s="51">
        <v>0.28472222222222199</v>
      </c>
      <c r="B99" s="16">
        <f>Primarios!A89</f>
        <v>83</v>
      </c>
      <c r="C99" s="1">
        <f>Primarios!B89</f>
        <v>0</v>
      </c>
      <c r="D99" s="18">
        <f>Primarios!M89</f>
        <v>0</v>
      </c>
      <c r="E99" s="18">
        <f>Primarios!N89</f>
        <v>0</v>
      </c>
      <c r="F99" s="18">
        <f>Primarios!O89</f>
        <v>0</v>
      </c>
      <c r="G99" s="18">
        <f>Primarios!P89</f>
        <v>0</v>
      </c>
      <c r="H99" s="18">
        <f>Primarios!Q89</f>
        <v>0</v>
      </c>
      <c r="I99" s="18">
        <f>Primarios!R89</f>
        <v>0</v>
      </c>
      <c r="J99" s="18">
        <f>Primarios!S89</f>
        <v>0</v>
      </c>
      <c r="K99" s="18">
        <f>Primarios!T89</f>
        <v>0</v>
      </c>
      <c r="L99" s="18">
        <f>Primarios!U89</f>
        <v>0</v>
      </c>
    </row>
    <row r="100" spans="1:12" x14ac:dyDescent="0.2">
      <c r="A100" s="53">
        <v>0.28819444444444398</v>
      </c>
      <c r="B100" s="16">
        <f>Primarios!A90</f>
        <v>84</v>
      </c>
      <c r="C100" s="1">
        <f>Primarios!B90</f>
        <v>0</v>
      </c>
      <c r="D100" s="18">
        <f>Primarios!M90</f>
        <v>0</v>
      </c>
      <c r="E100" s="18">
        <f>Primarios!N90</f>
        <v>0</v>
      </c>
      <c r="F100" s="18">
        <f>Primarios!O90</f>
        <v>0</v>
      </c>
      <c r="G100" s="18">
        <f>Primarios!P90</f>
        <v>0</v>
      </c>
      <c r="H100" s="18">
        <f>Primarios!Q90</f>
        <v>0</v>
      </c>
      <c r="I100" s="18">
        <f>Primarios!R90</f>
        <v>0</v>
      </c>
      <c r="J100" s="18">
        <f>Primarios!S90</f>
        <v>0</v>
      </c>
      <c r="K100" s="18">
        <f>Primarios!T90</f>
        <v>0</v>
      </c>
      <c r="L100" s="18">
        <f>Primarios!U90</f>
        <v>0</v>
      </c>
    </row>
    <row r="101" spans="1:12" x14ac:dyDescent="0.2">
      <c r="A101" s="51">
        <v>0.29166666666666702</v>
      </c>
      <c r="B101" s="16">
        <f>Primarios!A91</f>
        <v>85</v>
      </c>
      <c r="C101" s="1">
        <f>Primarios!B91</f>
        <v>0</v>
      </c>
      <c r="D101" s="18">
        <f>Primarios!M91</f>
        <v>0</v>
      </c>
      <c r="E101" s="18">
        <f>Primarios!N91</f>
        <v>0</v>
      </c>
      <c r="F101" s="18">
        <f>Primarios!O91</f>
        <v>0</v>
      </c>
      <c r="G101" s="18">
        <f>Primarios!P91</f>
        <v>0</v>
      </c>
      <c r="H101" s="18">
        <f>Primarios!Q91</f>
        <v>0</v>
      </c>
      <c r="I101" s="18">
        <f>Primarios!R91</f>
        <v>0</v>
      </c>
      <c r="J101" s="18">
        <f>Primarios!S91</f>
        <v>0</v>
      </c>
      <c r="K101" s="18">
        <f>Primarios!T91</f>
        <v>0</v>
      </c>
      <c r="L101" s="18">
        <f>Primarios!U91</f>
        <v>0</v>
      </c>
    </row>
    <row r="102" spans="1:12" x14ac:dyDescent="0.2">
      <c r="A102" s="53">
        <v>0.29513888888888901</v>
      </c>
      <c r="B102" s="16">
        <f>Primarios!A92</f>
        <v>86</v>
      </c>
      <c r="C102" s="1">
        <f>Primarios!B92</f>
        <v>0</v>
      </c>
      <c r="D102" s="18">
        <f>Primarios!M92</f>
        <v>0</v>
      </c>
      <c r="E102" s="18">
        <f>Primarios!N92</f>
        <v>0</v>
      </c>
      <c r="F102" s="18">
        <f>Primarios!O92</f>
        <v>0</v>
      </c>
      <c r="G102" s="18">
        <f>Primarios!P92</f>
        <v>0</v>
      </c>
      <c r="H102" s="18">
        <f>Primarios!Q92</f>
        <v>0</v>
      </c>
      <c r="I102" s="18">
        <f>Primarios!R92</f>
        <v>0</v>
      </c>
      <c r="J102" s="18">
        <f>Primarios!S92</f>
        <v>0</v>
      </c>
      <c r="K102" s="18">
        <f>Primarios!T92</f>
        <v>0</v>
      </c>
      <c r="L102" s="18">
        <f>Primarios!U92</f>
        <v>0</v>
      </c>
    </row>
    <row r="103" spans="1:12" x14ac:dyDescent="0.2">
      <c r="A103" s="51">
        <v>0.29861111111111099</v>
      </c>
      <c r="B103" s="16">
        <f>Primarios!A93</f>
        <v>87</v>
      </c>
      <c r="C103" s="1">
        <f>Primarios!B93</f>
        <v>0</v>
      </c>
      <c r="D103" s="18">
        <f>Primarios!M93</f>
        <v>0</v>
      </c>
      <c r="E103" s="18">
        <f>Primarios!N93</f>
        <v>0</v>
      </c>
      <c r="F103" s="18">
        <f>Primarios!O93</f>
        <v>0</v>
      </c>
      <c r="G103" s="18">
        <f>Primarios!P93</f>
        <v>0</v>
      </c>
      <c r="H103" s="18">
        <f>Primarios!Q93</f>
        <v>0</v>
      </c>
      <c r="I103" s="18">
        <f>Primarios!R93</f>
        <v>0</v>
      </c>
      <c r="J103" s="18">
        <f>Primarios!S93</f>
        <v>0</v>
      </c>
      <c r="K103" s="18">
        <f>Primarios!T93</f>
        <v>0</v>
      </c>
      <c r="L103" s="18">
        <f>Primarios!U93</f>
        <v>0</v>
      </c>
    </row>
    <row r="104" spans="1:12" x14ac:dyDescent="0.2">
      <c r="A104" s="53">
        <v>0.30208333333333298</v>
      </c>
      <c r="B104" s="16">
        <f>Primarios!A94</f>
        <v>88</v>
      </c>
      <c r="C104" s="1">
        <f>Primarios!B94</f>
        <v>0</v>
      </c>
      <c r="D104" s="18">
        <f>Primarios!M94</f>
        <v>0</v>
      </c>
      <c r="E104" s="18">
        <f>Primarios!N94</f>
        <v>0</v>
      </c>
      <c r="F104" s="18">
        <f>Primarios!O94</f>
        <v>0</v>
      </c>
      <c r="G104" s="18">
        <f>Primarios!P94</f>
        <v>0</v>
      </c>
      <c r="H104" s="18">
        <f>Primarios!Q94</f>
        <v>0</v>
      </c>
      <c r="I104" s="18">
        <f>Primarios!R94</f>
        <v>0</v>
      </c>
      <c r="J104" s="18">
        <f>Primarios!S94</f>
        <v>0</v>
      </c>
      <c r="K104" s="18">
        <f>Primarios!T94</f>
        <v>0</v>
      </c>
      <c r="L104" s="18">
        <f>Primarios!U94</f>
        <v>0</v>
      </c>
    </row>
    <row r="105" spans="1:12" x14ac:dyDescent="0.2">
      <c r="A105" s="51">
        <v>0.30555555555555602</v>
      </c>
      <c r="B105" s="16">
        <f>Primarios!A95</f>
        <v>89</v>
      </c>
      <c r="C105" s="1">
        <f>Primarios!B95</f>
        <v>0</v>
      </c>
      <c r="D105" s="18">
        <f>Primarios!M95</f>
        <v>0</v>
      </c>
      <c r="E105" s="18">
        <f>Primarios!N95</f>
        <v>0</v>
      </c>
      <c r="F105" s="18">
        <f>Primarios!O95</f>
        <v>0</v>
      </c>
      <c r="G105" s="18">
        <f>Primarios!P95</f>
        <v>0</v>
      </c>
      <c r="H105" s="18">
        <f>Primarios!Q95</f>
        <v>0</v>
      </c>
      <c r="I105" s="18">
        <f>Primarios!R95</f>
        <v>0</v>
      </c>
      <c r="J105" s="18">
        <f>Primarios!S95</f>
        <v>0</v>
      </c>
      <c r="K105" s="18">
        <f>Primarios!T95</f>
        <v>0</v>
      </c>
      <c r="L105" s="18">
        <f>Primarios!U95</f>
        <v>0</v>
      </c>
    </row>
    <row r="106" spans="1:12" x14ac:dyDescent="0.2">
      <c r="A106" s="53">
        <v>0.30902777777777801</v>
      </c>
      <c r="B106" s="16">
        <f>Primarios!A96</f>
        <v>90</v>
      </c>
      <c r="C106" s="1">
        <f>Primarios!B96</f>
        <v>0</v>
      </c>
      <c r="D106" s="18">
        <f>Primarios!M96</f>
        <v>0</v>
      </c>
      <c r="E106" s="18">
        <f>Primarios!N96</f>
        <v>0</v>
      </c>
      <c r="F106" s="18">
        <f>Primarios!O96</f>
        <v>0</v>
      </c>
      <c r="G106" s="18">
        <f>Primarios!P96</f>
        <v>0</v>
      </c>
      <c r="H106" s="18">
        <f>Primarios!Q96</f>
        <v>0</v>
      </c>
      <c r="I106" s="18">
        <f>Primarios!R96</f>
        <v>0</v>
      </c>
      <c r="J106" s="18">
        <f>Primarios!S96</f>
        <v>0</v>
      </c>
      <c r="K106" s="18">
        <f>Primarios!T96</f>
        <v>0</v>
      </c>
      <c r="L106" s="18">
        <f>Primarios!U96</f>
        <v>0</v>
      </c>
    </row>
    <row r="107" spans="1:12" x14ac:dyDescent="0.2">
      <c r="A107" s="51">
        <v>0.3125</v>
      </c>
      <c r="B107" s="16">
        <f>Primarios!A97</f>
        <v>91</v>
      </c>
      <c r="C107" s="1">
        <f>Primarios!B97</f>
        <v>0</v>
      </c>
      <c r="D107" s="18">
        <f>Primarios!M97</f>
        <v>0</v>
      </c>
      <c r="E107" s="18">
        <f>Primarios!N97</f>
        <v>0</v>
      </c>
      <c r="F107" s="18">
        <f>Primarios!O97</f>
        <v>0</v>
      </c>
      <c r="G107" s="18">
        <f>Primarios!P97</f>
        <v>0</v>
      </c>
      <c r="H107" s="18">
        <f>Primarios!Q97</f>
        <v>0</v>
      </c>
      <c r="I107" s="18">
        <f>Primarios!R97</f>
        <v>0</v>
      </c>
      <c r="J107" s="18">
        <f>Primarios!S97</f>
        <v>0</v>
      </c>
      <c r="K107" s="18">
        <f>Primarios!T97</f>
        <v>0</v>
      </c>
      <c r="L107" s="18">
        <f>Primarios!U97</f>
        <v>0</v>
      </c>
    </row>
    <row r="108" spans="1:12" x14ac:dyDescent="0.2">
      <c r="A108" s="53">
        <v>0.31597222222222199</v>
      </c>
      <c r="B108" s="16">
        <f>Primarios!A98</f>
        <v>92</v>
      </c>
      <c r="C108" s="1">
        <f>Primarios!B98</f>
        <v>0</v>
      </c>
      <c r="D108" s="18">
        <f>Primarios!M98</f>
        <v>0</v>
      </c>
      <c r="E108" s="18">
        <f>Primarios!N98</f>
        <v>0</v>
      </c>
      <c r="F108" s="18">
        <f>Primarios!O98</f>
        <v>0</v>
      </c>
      <c r="G108" s="18">
        <f>Primarios!P98</f>
        <v>0</v>
      </c>
      <c r="H108" s="18">
        <f>Primarios!Q98</f>
        <v>0</v>
      </c>
      <c r="I108" s="18">
        <f>Primarios!R98</f>
        <v>0</v>
      </c>
      <c r="J108" s="18">
        <f>Primarios!S98</f>
        <v>0</v>
      </c>
      <c r="K108" s="18">
        <f>Primarios!T98</f>
        <v>0</v>
      </c>
      <c r="L108" s="18">
        <f>Primarios!U98</f>
        <v>0</v>
      </c>
    </row>
    <row r="109" spans="1:12" x14ac:dyDescent="0.2">
      <c r="A109" s="51">
        <v>0.31944444444444398</v>
      </c>
      <c r="B109" s="16">
        <f>Primarios!A99</f>
        <v>93</v>
      </c>
      <c r="C109" s="1">
        <f>Primarios!B99</f>
        <v>0</v>
      </c>
      <c r="D109" s="18">
        <f>Primarios!M99</f>
        <v>0</v>
      </c>
      <c r="E109" s="18">
        <f>Primarios!N99</f>
        <v>0</v>
      </c>
      <c r="F109" s="18">
        <f>Primarios!O99</f>
        <v>0</v>
      </c>
      <c r="G109" s="18">
        <f>Primarios!P99</f>
        <v>0</v>
      </c>
      <c r="H109" s="18">
        <f>Primarios!Q99</f>
        <v>0</v>
      </c>
      <c r="I109" s="18">
        <f>Primarios!R99</f>
        <v>0</v>
      </c>
      <c r="J109" s="18">
        <f>Primarios!S99</f>
        <v>0</v>
      </c>
      <c r="K109" s="18">
        <f>Primarios!T99</f>
        <v>0</v>
      </c>
      <c r="L109" s="18">
        <f>Primarios!U99</f>
        <v>0</v>
      </c>
    </row>
    <row r="110" spans="1:12" x14ac:dyDescent="0.2">
      <c r="A110" s="53">
        <v>0.32291666666666702</v>
      </c>
      <c r="B110" s="16">
        <f>Primarios!A100</f>
        <v>94</v>
      </c>
      <c r="C110" s="1">
        <f>Primarios!B100</f>
        <v>0</v>
      </c>
      <c r="D110" s="18">
        <f>Primarios!M100</f>
        <v>0</v>
      </c>
      <c r="E110" s="18">
        <f>Primarios!N100</f>
        <v>0</v>
      </c>
      <c r="F110" s="18">
        <f>Primarios!O100</f>
        <v>0</v>
      </c>
      <c r="G110" s="18">
        <f>Primarios!P100</f>
        <v>0</v>
      </c>
      <c r="H110" s="18">
        <f>Primarios!Q100</f>
        <v>0</v>
      </c>
      <c r="I110" s="18">
        <f>Primarios!R100</f>
        <v>0</v>
      </c>
      <c r="J110" s="18">
        <f>Primarios!S100</f>
        <v>0</v>
      </c>
      <c r="K110" s="18">
        <f>Primarios!T100</f>
        <v>0</v>
      </c>
      <c r="L110" s="18">
        <f>Primarios!U100</f>
        <v>0</v>
      </c>
    </row>
    <row r="111" spans="1:12" x14ac:dyDescent="0.2">
      <c r="A111" s="51">
        <v>0.32638888888888901</v>
      </c>
      <c r="B111" s="16">
        <f>Primarios!A101</f>
        <v>95</v>
      </c>
      <c r="C111" s="1">
        <f>Primarios!B101</f>
        <v>0</v>
      </c>
      <c r="D111" s="18">
        <f>Primarios!M101</f>
        <v>0</v>
      </c>
      <c r="E111" s="18">
        <f>Primarios!N101</f>
        <v>0</v>
      </c>
      <c r="F111" s="18">
        <f>Primarios!O101</f>
        <v>0</v>
      </c>
      <c r="G111" s="18">
        <f>Primarios!P101</f>
        <v>0</v>
      </c>
      <c r="H111" s="18">
        <f>Primarios!Q101</f>
        <v>0</v>
      </c>
      <c r="I111" s="18">
        <f>Primarios!R101</f>
        <v>0</v>
      </c>
      <c r="J111" s="18">
        <f>Primarios!S101</f>
        <v>0</v>
      </c>
      <c r="K111" s="18">
        <f>Primarios!T101</f>
        <v>0</v>
      </c>
      <c r="L111" s="18">
        <f>Primarios!U101</f>
        <v>0</v>
      </c>
    </row>
    <row r="112" spans="1:12" x14ac:dyDescent="0.2">
      <c r="A112" s="53">
        <v>0.32986111111111099</v>
      </c>
      <c r="B112" s="16">
        <f>Primarios!A102</f>
        <v>96</v>
      </c>
      <c r="C112" s="1">
        <f>Primarios!B102</f>
        <v>0</v>
      </c>
      <c r="D112" s="18">
        <f>Primarios!M102</f>
        <v>0</v>
      </c>
      <c r="E112" s="18">
        <f>Primarios!N102</f>
        <v>0</v>
      </c>
      <c r="F112" s="18">
        <f>Primarios!O102</f>
        <v>0</v>
      </c>
      <c r="G112" s="18">
        <f>Primarios!P102</f>
        <v>0</v>
      </c>
      <c r="H112" s="18">
        <f>Primarios!Q102</f>
        <v>0</v>
      </c>
      <c r="I112" s="18">
        <f>Primarios!R102</f>
        <v>0</v>
      </c>
      <c r="J112" s="18">
        <f>Primarios!S102</f>
        <v>0</v>
      </c>
      <c r="K112" s="18">
        <f>Primarios!T102</f>
        <v>0</v>
      </c>
      <c r="L112" s="18">
        <f>Primarios!U102</f>
        <v>0</v>
      </c>
    </row>
    <row r="113" spans="1:12" x14ac:dyDescent="0.2">
      <c r="A113" s="51">
        <v>0.33333333333333298</v>
      </c>
      <c r="B113" s="16">
        <f>Primarios!A103</f>
        <v>97</v>
      </c>
      <c r="C113" s="1">
        <f>Primarios!B103</f>
        <v>0</v>
      </c>
      <c r="D113" s="18">
        <f>Primarios!M103</f>
        <v>0</v>
      </c>
      <c r="E113" s="18">
        <f>Primarios!N103</f>
        <v>0</v>
      </c>
      <c r="F113" s="18">
        <f>Primarios!O103</f>
        <v>0</v>
      </c>
      <c r="G113" s="18">
        <f>Primarios!P103</f>
        <v>0</v>
      </c>
      <c r="H113" s="18">
        <f>Primarios!Q103</f>
        <v>0</v>
      </c>
      <c r="I113" s="18">
        <f>Primarios!R103</f>
        <v>0</v>
      </c>
      <c r="J113" s="18">
        <f>Primarios!S103</f>
        <v>0</v>
      </c>
      <c r="K113" s="18">
        <f>Primarios!T103</f>
        <v>0</v>
      </c>
      <c r="L113" s="18">
        <f>Primarios!U103</f>
        <v>0</v>
      </c>
    </row>
    <row r="114" spans="1:12" x14ac:dyDescent="0.2">
      <c r="A114" s="53">
        <v>0.33680555555555602</v>
      </c>
      <c r="B114" s="16">
        <f>Primarios!A104</f>
        <v>98</v>
      </c>
      <c r="C114" s="1">
        <f>Primarios!B104</f>
        <v>0</v>
      </c>
      <c r="D114" s="18">
        <f>Primarios!M104</f>
        <v>0</v>
      </c>
      <c r="E114" s="18">
        <f>Primarios!N104</f>
        <v>0</v>
      </c>
      <c r="F114" s="18">
        <f>Primarios!O104</f>
        <v>0</v>
      </c>
      <c r="G114" s="18">
        <f>Primarios!P104</f>
        <v>0</v>
      </c>
      <c r="H114" s="18">
        <f>Primarios!Q104</f>
        <v>0</v>
      </c>
      <c r="I114" s="18">
        <f>Primarios!R104</f>
        <v>0</v>
      </c>
      <c r="J114" s="18">
        <f>Primarios!S104</f>
        <v>0</v>
      </c>
      <c r="K114" s="18">
        <f>Primarios!T104</f>
        <v>0</v>
      </c>
      <c r="L114" s="18">
        <f>Primarios!U104</f>
        <v>0</v>
      </c>
    </row>
    <row r="115" spans="1:12" x14ac:dyDescent="0.2">
      <c r="A115" s="51">
        <v>0.34027777777777801</v>
      </c>
      <c r="B115" s="16">
        <f>Primarios!A105</f>
        <v>99</v>
      </c>
      <c r="C115" s="1">
        <f>Primarios!B105</f>
        <v>0</v>
      </c>
      <c r="D115" s="18">
        <f>Primarios!M105</f>
        <v>0</v>
      </c>
      <c r="E115" s="18">
        <f>Primarios!N105</f>
        <v>0</v>
      </c>
      <c r="F115" s="18">
        <f>Primarios!O105</f>
        <v>0</v>
      </c>
      <c r="G115" s="18">
        <f>Primarios!P105</f>
        <v>0</v>
      </c>
      <c r="H115" s="18">
        <f>Primarios!Q105</f>
        <v>0</v>
      </c>
      <c r="I115" s="18">
        <f>Primarios!R105</f>
        <v>0</v>
      </c>
      <c r="J115" s="18">
        <f>Primarios!S105</f>
        <v>0</v>
      </c>
      <c r="K115" s="18">
        <f>Primarios!T105</f>
        <v>0</v>
      </c>
      <c r="L115" s="18">
        <f>Primarios!U105</f>
        <v>0</v>
      </c>
    </row>
    <row r="116" spans="1:12" x14ac:dyDescent="0.2">
      <c r="A116" s="53">
        <v>0.34375</v>
      </c>
      <c r="B116" s="16">
        <f>Primarios!A106</f>
        <v>100</v>
      </c>
      <c r="C116" s="1">
        <f>Primarios!B106</f>
        <v>0</v>
      </c>
      <c r="D116" s="18">
        <f>Primarios!M106</f>
        <v>0</v>
      </c>
      <c r="E116" s="18">
        <f>Primarios!N106</f>
        <v>0</v>
      </c>
      <c r="F116" s="18">
        <f>Primarios!O106</f>
        <v>0</v>
      </c>
      <c r="G116" s="18">
        <f>Primarios!P106</f>
        <v>0</v>
      </c>
      <c r="H116" s="18">
        <f>Primarios!Q106</f>
        <v>0</v>
      </c>
      <c r="I116" s="18">
        <f>Primarios!R106</f>
        <v>0</v>
      </c>
      <c r="J116" s="18">
        <f>Primarios!S106</f>
        <v>0</v>
      </c>
      <c r="K116" s="18">
        <f>Primarios!T106</f>
        <v>0</v>
      </c>
      <c r="L116" s="18">
        <f>Primarios!U106</f>
        <v>0</v>
      </c>
    </row>
    <row r="117" spans="1:12" x14ac:dyDescent="0.2">
      <c r="A117" s="51">
        <v>0.34722222222222199</v>
      </c>
      <c r="B117" s="16">
        <f>Primarios!A107</f>
        <v>101</v>
      </c>
      <c r="C117" s="1">
        <f>Primarios!B107</f>
        <v>0</v>
      </c>
      <c r="D117" s="18">
        <f>Primarios!M107</f>
        <v>0</v>
      </c>
      <c r="E117" s="18">
        <f>Primarios!N107</f>
        <v>0</v>
      </c>
      <c r="F117" s="18">
        <f>Primarios!O107</f>
        <v>0</v>
      </c>
      <c r="G117" s="18">
        <f>Primarios!P107</f>
        <v>0</v>
      </c>
      <c r="H117" s="18">
        <f>Primarios!Q107</f>
        <v>0</v>
      </c>
      <c r="I117" s="18">
        <f>Primarios!R107</f>
        <v>0</v>
      </c>
      <c r="J117" s="18">
        <f>Primarios!S107</f>
        <v>0</v>
      </c>
      <c r="K117" s="18">
        <f>Primarios!T107</f>
        <v>0</v>
      </c>
      <c r="L117" s="18">
        <f>Primarios!U107</f>
        <v>0</v>
      </c>
    </row>
    <row r="118" spans="1:12" x14ac:dyDescent="0.2">
      <c r="A118" s="53">
        <v>0.35069444444444398</v>
      </c>
      <c r="B118" s="16">
        <f>Primarios!A108</f>
        <v>102</v>
      </c>
      <c r="C118" s="1">
        <f>Primarios!B108</f>
        <v>0</v>
      </c>
      <c r="D118" s="18">
        <f>Primarios!M108</f>
        <v>0</v>
      </c>
      <c r="E118" s="18">
        <f>Primarios!N108</f>
        <v>0</v>
      </c>
      <c r="F118" s="18">
        <f>Primarios!O108</f>
        <v>0</v>
      </c>
      <c r="G118" s="18">
        <f>Primarios!P108</f>
        <v>0</v>
      </c>
      <c r="H118" s="18">
        <f>Primarios!Q108</f>
        <v>0</v>
      </c>
      <c r="I118" s="18">
        <f>Primarios!R108</f>
        <v>0</v>
      </c>
      <c r="J118" s="18">
        <f>Primarios!S108</f>
        <v>0</v>
      </c>
      <c r="K118" s="18">
        <f>Primarios!T108</f>
        <v>0</v>
      </c>
      <c r="L118" s="18">
        <f>Primarios!U108</f>
        <v>0</v>
      </c>
    </row>
    <row r="119" spans="1:12" x14ac:dyDescent="0.2">
      <c r="A119" s="51">
        <v>0.35416666666666702</v>
      </c>
      <c r="B119" s="16">
        <f>Primarios!A109</f>
        <v>103</v>
      </c>
      <c r="C119" s="1">
        <f>Primarios!B109</f>
        <v>0</v>
      </c>
      <c r="D119" s="18">
        <f>Primarios!M109</f>
        <v>0</v>
      </c>
      <c r="E119" s="18">
        <f>Primarios!N109</f>
        <v>0</v>
      </c>
      <c r="F119" s="18">
        <f>Primarios!O109</f>
        <v>0</v>
      </c>
      <c r="G119" s="18">
        <f>Primarios!P109</f>
        <v>0</v>
      </c>
      <c r="H119" s="18">
        <f>Primarios!Q109</f>
        <v>0</v>
      </c>
      <c r="I119" s="18">
        <f>Primarios!R109</f>
        <v>0</v>
      </c>
      <c r="J119" s="18">
        <f>Primarios!S109</f>
        <v>0</v>
      </c>
      <c r="K119" s="18">
        <f>Primarios!T109</f>
        <v>0</v>
      </c>
      <c r="L119" s="18">
        <f>Primarios!U109</f>
        <v>0</v>
      </c>
    </row>
    <row r="120" spans="1:12" x14ac:dyDescent="0.2">
      <c r="A120" s="53">
        <v>0.35763888888888901</v>
      </c>
      <c r="B120" s="16">
        <f>Primarios!A110</f>
        <v>104</v>
      </c>
      <c r="C120" s="1">
        <f>Primarios!B110</f>
        <v>0</v>
      </c>
      <c r="D120" s="18">
        <f>Primarios!M110</f>
        <v>0</v>
      </c>
      <c r="E120" s="18">
        <f>Primarios!N110</f>
        <v>0</v>
      </c>
      <c r="F120" s="18">
        <f>Primarios!O110</f>
        <v>0</v>
      </c>
      <c r="G120" s="18">
        <f>Primarios!P110</f>
        <v>0</v>
      </c>
      <c r="H120" s="18">
        <f>Primarios!Q110</f>
        <v>0</v>
      </c>
      <c r="I120" s="18">
        <f>Primarios!R110</f>
        <v>0</v>
      </c>
      <c r="J120" s="18">
        <f>Primarios!S110</f>
        <v>0</v>
      </c>
      <c r="K120" s="18">
        <f>Primarios!T110</f>
        <v>0</v>
      </c>
      <c r="L120" s="18">
        <f>Primarios!U110</f>
        <v>0</v>
      </c>
    </row>
    <row r="121" spans="1:12" x14ac:dyDescent="0.2">
      <c r="A121" s="51">
        <v>0.36111111111111099</v>
      </c>
      <c r="B121" s="16">
        <f>Primarios!A111</f>
        <v>105</v>
      </c>
      <c r="C121" s="1">
        <f>Primarios!B111</f>
        <v>0</v>
      </c>
      <c r="D121" s="18">
        <f>Primarios!M111</f>
        <v>0</v>
      </c>
      <c r="E121" s="18">
        <f>Primarios!N111</f>
        <v>0</v>
      </c>
      <c r="F121" s="18">
        <f>Primarios!O111</f>
        <v>0</v>
      </c>
      <c r="G121" s="18">
        <f>Primarios!P111</f>
        <v>0</v>
      </c>
      <c r="H121" s="18">
        <f>Primarios!Q111</f>
        <v>0</v>
      </c>
      <c r="I121" s="18">
        <f>Primarios!R111</f>
        <v>0</v>
      </c>
      <c r="J121" s="18">
        <f>Primarios!S111</f>
        <v>0</v>
      </c>
      <c r="K121" s="18">
        <f>Primarios!T111</f>
        <v>0</v>
      </c>
      <c r="L121" s="18">
        <f>Primarios!U111</f>
        <v>0</v>
      </c>
    </row>
    <row r="122" spans="1:12" x14ac:dyDescent="0.2">
      <c r="A122" s="53">
        <v>0.36458333333333298</v>
      </c>
      <c r="B122" s="16">
        <f>Primarios!A112</f>
        <v>106</v>
      </c>
      <c r="C122" s="1">
        <f>Primarios!B112</f>
        <v>0</v>
      </c>
      <c r="D122" s="18">
        <f>Primarios!M112</f>
        <v>0</v>
      </c>
      <c r="E122" s="18">
        <f>Primarios!N112</f>
        <v>0</v>
      </c>
      <c r="F122" s="18">
        <f>Primarios!O112</f>
        <v>0</v>
      </c>
      <c r="G122" s="18">
        <f>Primarios!P112</f>
        <v>0</v>
      </c>
      <c r="H122" s="18">
        <f>Primarios!Q112</f>
        <v>0</v>
      </c>
      <c r="I122" s="18">
        <f>Primarios!R112</f>
        <v>0</v>
      </c>
      <c r="J122" s="18">
        <f>Primarios!S112</f>
        <v>0</v>
      </c>
      <c r="K122" s="18">
        <f>Primarios!T112</f>
        <v>0</v>
      </c>
      <c r="L122" s="18">
        <f>Primarios!U112</f>
        <v>0</v>
      </c>
    </row>
    <row r="123" spans="1:12" x14ac:dyDescent="0.2">
      <c r="A123" s="51">
        <v>0.36805555555555602</v>
      </c>
      <c r="B123" s="16">
        <f>Primarios!A113</f>
        <v>107</v>
      </c>
      <c r="C123" s="1">
        <f>Primarios!B113</f>
        <v>0</v>
      </c>
      <c r="D123" s="18">
        <f>Primarios!M113</f>
        <v>0</v>
      </c>
      <c r="E123" s="18">
        <f>Primarios!N113</f>
        <v>0</v>
      </c>
      <c r="F123" s="18">
        <f>Primarios!O113</f>
        <v>0</v>
      </c>
      <c r="G123" s="18">
        <f>Primarios!P113</f>
        <v>0</v>
      </c>
      <c r="H123" s="18">
        <f>Primarios!Q113</f>
        <v>0</v>
      </c>
      <c r="I123" s="18">
        <f>Primarios!R113</f>
        <v>0</v>
      </c>
      <c r="J123" s="18">
        <f>Primarios!S113</f>
        <v>0</v>
      </c>
      <c r="K123" s="18">
        <f>Primarios!T113</f>
        <v>0</v>
      </c>
      <c r="L123" s="18">
        <f>Primarios!U113</f>
        <v>0</v>
      </c>
    </row>
    <row r="124" spans="1:12" x14ac:dyDescent="0.2">
      <c r="A124" s="53">
        <v>0.37152777777777801</v>
      </c>
      <c r="B124" s="16">
        <f>Primarios!A114</f>
        <v>108</v>
      </c>
      <c r="C124" s="1">
        <f>Primarios!B114</f>
        <v>0</v>
      </c>
      <c r="D124" s="18">
        <f>Primarios!M114</f>
        <v>0</v>
      </c>
      <c r="E124" s="18">
        <f>Primarios!N114</f>
        <v>0</v>
      </c>
      <c r="F124" s="18">
        <f>Primarios!O114</f>
        <v>0</v>
      </c>
      <c r="G124" s="18">
        <f>Primarios!P114</f>
        <v>0</v>
      </c>
      <c r="H124" s="18">
        <f>Primarios!Q114</f>
        <v>0</v>
      </c>
      <c r="I124" s="18">
        <f>Primarios!R114</f>
        <v>0</v>
      </c>
      <c r="J124" s="18">
        <f>Primarios!S114</f>
        <v>0</v>
      </c>
      <c r="K124" s="18">
        <f>Primarios!T114</f>
        <v>0</v>
      </c>
      <c r="L124" s="18">
        <f>Primarios!U114</f>
        <v>0</v>
      </c>
    </row>
    <row r="125" spans="1:12" x14ac:dyDescent="0.2">
      <c r="A125" s="51">
        <v>0.375</v>
      </c>
      <c r="B125" s="16">
        <f>Primarios!A115</f>
        <v>109</v>
      </c>
      <c r="C125" s="1">
        <f>Primarios!B115</f>
        <v>0</v>
      </c>
      <c r="D125" s="18">
        <f>Primarios!M115</f>
        <v>0</v>
      </c>
      <c r="E125" s="18">
        <f>Primarios!N115</f>
        <v>0</v>
      </c>
      <c r="F125" s="18">
        <f>Primarios!O115</f>
        <v>0</v>
      </c>
      <c r="G125" s="18">
        <f>Primarios!P115</f>
        <v>0</v>
      </c>
      <c r="H125" s="18">
        <f>Primarios!Q115</f>
        <v>0</v>
      </c>
      <c r="I125" s="18">
        <f>Primarios!R115</f>
        <v>0</v>
      </c>
      <c r="J125" s="18">
        <f>Primarios!S115</f>
        <v>0</v>
      </c>
      <c r="K125" s="18">
        <f>Primarios!T115</f>
        <v>0</v>
      </c>
      <c r="L125" s="18">
        <f>Primarios!U115</f>
        <v>0</v>
      </c>
    </row>
    <row r="126" spans="1:12" x14ac:dyDescent="0.2">
      <c r="A126" s="53">
        <v>0.37847222222222199</v>
      </c>
      <c r="B126" s="16">
        <f>Primarios!A116</f>
        <v>110</v>
      </c>
      <c r="C126" s="1">
        <f>Primarios!B116</f>
        <v>0</v>
      </c>
      <c r="D126" s="18">
        <f>Primarios!M116</f>
        <v>0</v>
      </c>
      <c r="E126" s="18">
        <f>Primarios!N116</f>
        <v>0</v>
      </c>
      <c r="F126" s="18">
        <f>Primarios!O116</f>
        <v>0</v>
      </c>
      <c r="G126" s="18">
        <f>Primarios!P116</f>
        <v>0</v>
      </c>
      <c r="H126" s="18">
        <f>Primarios!Q116</f>
        <v>0</v>
      </c>
      <c r="I126" s="18">
        <f>Primarios!R116</f>
        <v>0</v>
      </c>
      <c r="J126" s="18">
        <f>Primarios!S116</f>
        <v>0</v>
      </c>
      <c r="K126" s="18">
        <f>Primarios!T116</f>
        <v>0</v>
      </c>
      <c r="L126" s="18">
        <f>Primarios!U116</f>
        <v>0</v>
      </c>
    </row>
    <row r="127" spans="1:12" x14ac:dyDescent="0.2">
      <c r="A127" s="51">
        <v>0.38194444444444398</v>
      </c>
      <c r="B127" s="16">
        <f>Primarios!A117</f>
        <v>111</v>
      </c>
      <c r="C127" s="1">
        <f>Primarios!B117</f>
        <v>0</v>
      </c>
      <c r="D127" s="18">
        <f>Primarios!M117</f>
        <v>0</v>
      </c>
      <c r="E127" s="18">
        <f>Primarios!N117</f>
        <v>0</v>
      </c>
      <c r="F127" s="18">
        <f>Primarios!O117</f>
        <v>0</v>
      </c>
      <c r="G127" s="18">
        <f>Primarios!P117</f>
        <v>0</v>
      </c>
      <c r="H127" s="18">
        <f>Primarios!Q117</f>
        <v>0</v>
      </c>
      <c r="I127" s="18">
        <f>Primarios!R117</f>
        <v>0</v>
      </c>
      <c r="J127" s="18">
        <f>Primarios!S117</f>
        <v>0</v>
      </c>
      <c r="K127" s="18">
        <f>Primarios!T117</f>
        <v>0</v>
      </c>
      <c r="L127" s="18">
        <f>Primarios!U117</f>
        <v>0</v>
      </c>
    </row>
    <row r="128" spans="1:12" x14ac:dyDescent="0.2">
      <c r="A128" s="53">
        <v>0.38541666666666702</v>
      </c>
      <c r="B128" s="16">
        <f>Primarios!A118</f>
        <v>112</v>
      </c>
      <c r="C128" s="1">
        <f>Primarios!B118</f>
        <v>0</v>
      </c>
      <c r="D128" s="18">
        <f>Primarios!M118</f>
        <v>0</v>
      </c>
      <c r="E128" s="18">
        <f>Primarios!N118</f>
        <v>0</v>
      </c>
      <c r="F128" s="18">
        <f>Primarios!O118</f>
        <v>0</v>
      </c>
      <c r="G128" s="18">
        <f>Primarios!P118</f>
        <v>0</v>
      </c>
      <c r="H128" s="18">
        <f>Primarios!Q118</f>
        <v>0</v>
      </c>
      <c r="I128" s="18">
        <f>Primarios!R118</f>
        <v>0</v>
      </c>
      <c r="J128" s="18">
        <f>Primarios!S118</f>
        <v>0</v>
      </c>
      <c r="K128" s="18">
        <f>Primarios!T118</f>
        <v>0</v>
      </c>
      <c r="L128" s="18">
        <f>Primarios!U118</f>
        <v>0</v>
      </c>
    </row>
    <row r="129" spans="1:12" x14ac:dyDescent="0.2">
      <c r="A129" s="51">
        <v>0.38888888888888901</v>
      </c>
      <c r="B129" s="16">
        <f>Primarios!A119</f>
        <v>113</v>
      </c>
      <c r="C129" s="1">
        <f>Primarios!B119</f>
        <v>0</v>
      </c>
      <c r="D129" s="18">
        <f>Primarios!M119</f>
        <v>0</v>
      </c>
      <c r="E129" s="18">
        <f>Primarios!N119</f>
        <v>0</v>
      </c>
      <c r="F129" s="18">
        <f>Primarios!O119</f>
        <v>0</v>
      </c>
      <c r="G129" s="18">
        <f>Primarios!P119</f>
        <v>0</v>
      </c>
      <c r="H129" s="18">
        <f>Primarios!Q119</f>
        <v>0</v>
      </c>
      <c r="I129" s="18">
        <f>Primarios!R119</f>
        <v>0</v>
      </c>
      <c r="J129" s="18">
        <f>Primarios!S119</f>
        <v>0</v>
      </c>
      <c r="K129" s="18">
        <f>Primarios!T119</f>
        <v>0</v>
      </c>
      <c r="L129" s="18">
        <f>Primarios!U119</f>
        <v>0</v>
      </c>
    </row>
    <row r="130" spans="1:12" x14ac:dyDescent="0.2">
      <c r="A130" s="53">
        <v>0.39236111111111099</v>
      </c>
      <c r="B130" s="16">
        <f>Primarios!A120</f>
        <v>114</v>
      </c>
      <c r="C130" s="1">
        <f>Primarios!B120</f>
        <v>0</v>
      </c>
      <c r="D130" s="18">
        <f>Primarios!M120</f>
        <v>0</v>
      </c>
      <c r="E130" s="18">
        <f>Primarios!N120</f>
        <v>0</v>
      </c>
      <c r="F130" s="18">
        <f>Primarios!O120</f>
        <v>0</v>
      </c>
      <c r="G130" s="18">
        <f>Primarios!P120</f>
        <v>0</v>
      </c>
      <c r="H130" s="18">
        <f>Primarios!Q120</f>
        <v>0</v>
      </c>
      <c r="I130" s="18">
        <f>Primarios!R120</f>
        <v>0</v>
      </c>
      <c r="J130" s="18">
        <f>Primarios!S120</f>
        <v>0</v>
      </c>
      <c r="K130" s="18">
        <f>Primarios!T120</f>
        <v>0</v>
      </c>
      <c r="L130" s="18">
        <f>Primarios!U120</f>
        <v>0</v>
      </c>
    </row>
    <row r="131" spans="1:12" x14ac:dyDescent="0.2">
      <c r="A131" s="51">
        <v>0.39583333333333298</v>
      </c>
      <c r="B131" s="16">
        <f>Primarios!A121</f>
        <v>115</v>
      </c>
      <c r="C131" s="1">
        <f>Primarios!B121</f>
        <v>0</v>
      </c>
      <c r="D131" s="18">
        <f>Primarios!M121</f>
        <v>0</v>
      </c>
      <c r="E131" s="18">
        <f>Primarios!N121</f>
        <v>0</v>
      </c>
      <c r="F131" s="18">
        <f>Primarios!O121</f>
        <v>0</v>
      </c>
      <c r="G131" s="18">
        <f>Primarios!P121</f>
        <v>0</v>
      </c>
      <c r="H131" s="18">
        <f>Primarios!Q121</f>
        <v>0</v>
      </c>
      <c r="I131" s="18">
        <f>Primarios!R121</f>
        <v>0</v>
      </c>
      <c r="J131" s="18">
        <f>Primarios!S121</f>
        <v>0</v>
      </c>
      <c r="K131" s="18">
        <f>Primarios!T121</f>
        <v>0</v>
      </c>
      <c r="L131" s="18">
        <f>Primarios!U121</f>
        <v>0</v>
      </c>
    </row>
    <row r="132" spans="1:12" x14ac:dyDescent="0.2">
      <c r="A132" s="53">
        <v>0.39930555555555602</v>
      </c>
      <c r="B132" s="16">
        <f>Primarios!A122</f>
        <v>116</v>
      </c>
      <c r="C132" s="1">
        <f>Primarios!B122</f>
        <v>0</v>
      </c>
      <c r="D132" s="18">
        <f>Primarios!M122</f>
        <v>0</v>
      </c>
      <c r="E132" s="18">
        <f>Primarios!N122</f>
        <v>0</v>
      </c>
      <c r="F132" s="18">
        <f>Primarios!O122</f>
        <v>0</v>
      </c>
      <c r="G132" s="18">
        <f>Primarios!P122</f>
        <v>0</v>
      </c>
      <c r="H132" s="18">
        <f>Primarios!Q122</f>
        <v>0</v>
      </c>
      <c r="I132" s="18">
        <f>Primarios!R122</f>
        <v>0</v>
      </c>
      <c r="J132" s="18">
        <f>Primarios!S122</f>
        <v>0</v>
      </c>
      <c r="K132" s="18">
        <f>Primarios!T122</f>
        <v>0</v>
      </c>
      <c r="L132" s="18">
        <f>Primarios!U122</f>
        <v>0</v>
      </c>
    </row>
    <row r="133" spans="1:12" x14ac:dyDescent="0.2">
      <c r="A133" s="51">
        <v>0.40277777777777801</v>
      </c>
      <c r="B133" s="16">
        <f>Primarios!A123</f>
        <v>117</v>
      </c>
      <c r="C133" s="1">
        <f>Primarios!B123</f>
        <v>0</v>
      </c>
      <c r="D133" s="18">
        <f>Primarios!M123</f>
        <v>0</v>
      </c>
      <c r="E133" s="18">
        <f>Primarios!N123</f>
        <v>0</v>
      </c>
      <c r="F133" s="18">
        <f>Primarios!O123</f>
        <v>0</v>
      </c>
      <c r="G133" s="18">
        <f>Primarios!P123</f>
        <v>0</v>
      </c>
      <c r="H133" s="18">
        <f>Primarios!Q123</f>
        <v>0</v>
      </c>
      <c r="I133" s="18">
        <f>Primarios!R123</f>
        <v>0</v>
      </c>
      <c r="J133" s="18">
        <f>Primarios!S123</f>
        <v>0</v>
      </c>
      <c r="K133" s="18">
        <f>Primarios!T123</f>
        <v>0</v>
      </c>
      <c r="L133" s="18">
        <f>Primarios!U123</f>
        <v>0</v>
      </c>
    </row>
    <row r="134" spans="1:12" x14ac:dyDescent="0.2">
      <c r="A134" s="53">
        <v>0.40625</v>
      </c>
      <c r="B134" s="16">
        <f>Primarios!A124</f>
        <v>118</v>
      </c>
      <c r="C134" s="1">
        <f>Primarios!B124</f>
        <v>0</v>
      </c>
      <c r="D134" s="18">
        <f>Primarios!M124</f>
        <v>0</v>
      </c>
      <c r="E134" s="18">
        <f>Primarios!N124</f>
        <v>0</v>
      </c>
      <c r="F134" s="18">
        <f>Primarios!O124</f>
        <v>0</v>
      </c>
      <c r="G134" s="18">
        <f>Primarios!P124</f>
        <v>0</v>
      </c>
      <c r="H134" s="18">
        <f>Primarios!Q124</f>
        <v>0</v>
      </c>
      <c r="I134" s="18">
        <f>Primarios!R124</f>
        <v>0</v>
      </c>
      <c r="J134" s="18">
        <f>Primarios!S124</f>
        <v>0</v>
      </c>
      <c r="K134" s="18">
        <f>Primarios!T124</f>
        <v>0</v>
      </c>
      <c r="L134" s="18">
        <f>Primarios!U124</f>
        <v>0</v>
      </c>
    </row>
    <row r="135" spans="1:12" x14ac:dyDescent="0.2">
      <c r="A135" s="51">
        <v>0.40972222222222199</v>
      </c>
      <c r="B135" s="16">
        <f>Primarios!A125</f>
        <v>119</v>
      </c>
      <c r="C135" s="1">
        <f>Primarios!B125</f>
        <v>0</v>
      </c>
      <c r="D135" s="18">
        <f>Primarios!M125</f>
        <v>0</v>
      </c>
      <c r="E135" s="18">
        <f>Primarios!N125</f>
        <v>0</v>
      </c>
      <c r="F135" s="18">
        <f>Primarios!O125</f>
        <v>0</v>
      </c>
      <c r="G135" s="18">
        <f>Primarios!P125</f>
        <v>0</v>
      </c>
      <c r="H135" s="18">
        <f>Primarios!Q125</f>
        <v>0</v>
      </c>
      <c r="I135" s="18">
        <f>Primarios!R125</f>
        <v>0</v>
      </c>
      <c r="J135" s="18">
        <f>Primarios!S125</f>
        <v>0</v>
      </c>
      <c r="K135" s="18">
        <f>Primarios!T125</f>
        <v>0</v>
      </c>
      <c r="L135" s="18">
        <f>Primarios!U125</f>
        <v>0</v>
      </c>
    </row>
    <row r="136" spans="1:12" x14ac:dyDescent="0.2">
      <c r="A136" s="53">
        <v>0.41319444444444398</v>
      </c>
      <c r="B136" s="16">
        <f>Primarios!A126</f>
        <v>120</v>
      </c>
      <c r="C136" s="1">
        <f>Primarios!B126</f>
        <v>0</v>
      </c>
      <c r="D136" s="18">
        <f>Primarios!M126</f>
        <v>0</v>
      </c>
      <c r="E136" s="18">
        <f>Primarios!N126</f>
        <v>0</v>
      </c>
      <c r="F136" s="18">
        <f>Primarios!O126</f>
        <v>0</v>
      </c>
      <c r="G136" s="18">
        <f>Primarios!P126</f>
        <v>0</v>
      </c>
      <c r="H136" s="18">
        <f>Primarios!Q126</f>
        <v>0</v>
      </c>
      <c r="I136" s="18">
        <f>Primarios!R126</f>
        <v>0</v>
      </c>
      <c r="J136" s="18">
        <f>Primarios!S126</f>
        <v>0</v>
      </c>
      <c r="K136" s="18">
        <f>Primarios!T126</f>
        <v>0</v>
      </c>
      <c r="L136" s="18">
        <f>Primarios!U126</f>
        <v>0</v>
      </c>
    </row>
    <row r="137" spans="1:12" x14ac:dyDescent="0.2">
      <c r="A137" s="51">
        <v>0.41666666666666702</v>
      </c>
      <c r="B137" s="16">
        <f>Primarios!A127</f>
        <v>121</v>
      </c>
      <c r="C137" s="1">
        <f>Primarios!B127</f>
        <v>0</v>
      </c>
      <c r="D137" s="18">
        <f>Primarios!M127</f>
        <v>0</v>
      </c>
      <c r="E137" s="18">
        <f>Primarios!N127</f>
        <v>0</v>
      </c>
      <c r="F137" s="18">
        <f>Primarios!O127</f>
        <v>0</v>
      </c>
      <c r="G137" s="18">
        <f>Primarios!P127</f>
        <v>0</v>
      </c>
      <c r="H137" s="18">
        <f>Primarios!Q127</f>
        <v>0</v>
      </c>
      <c r="I137" s="18">
        <f>Primarios!R127</f>
        <v>0</v>
      </c>
      <c r="J137" s="18">
        <f>Primarios!S127</f>
        <v>0</v>
      </c>
      <c r="K137" s="18">
        <f>Primarios!T127</f>
        <v>0</v>
      </c>
      <c r="L137" s="18">
        <f>Primarios!U127</f>
        <v>0</v>
      </c>
    </row>
    <row r="138" spans="1:12" x14ac:dyDescent="0.2">
      <c r="A138" s="53">
        <v>0.42013888888888901</v>
      </c>
      <c r="B138" s="16">
        <f>Primarios!A128</f>
        <v>122</v>
      </c>
      <c r="C138" s="1">
        <f>Primarios!B128</f>
        <v>0</v>
      </c>
      <c r="D138" s="18">
        <f>Primarios!M128</f>
        <v>0</v>
      </c>
      <c r="E138" s="18">
        <f>Primarios!N128</f>
        <v>0</v>
      </c>
      <c r="F138" s="18">
        <f>Primarios!O128</f>
        <v>0</v>
      </c>
      <c r="G138" s="18">
        <f>Primarios!P128</f>
        <v>0</v>
      </c>
      <c r="H138" s="18">
        <f>Primarios!Q128</f>
        <v>0</v>
      </c>
      <c r="I138" s="18">
        <f>Primarios!R128</f>
        <v>0</v>
      </c>
      <c r="J138" s="18">
        <f>Primarios!S128</f>
        <v>0</v>
      </c>
      <c r="K138" s="18">
        <f>Primarios!T128</f>
        <v>0</v>
      </c>
      <c r="L138" s="18">
        <f>Primarios!U128</f>
        <v>0</v>
      </c>
    </row>
    <row r="139" spans="1:12" x14ac:dyDescent="0.2">
      <c r="A139" s="51">
        <v>0.42361111111111099</v>
      </c>
      <c r="B139" s="16">
        <f>Primarios!A129</f>
        <v>123</v>
      </c>
      <c r="C139" s="1">
        <f>Primarios!B129</f>
        <v>0</v>
      </c>
      <c r="D139" s="18">
        <f>Primarios!M129</f>
        <v>0</v>
      </c>
      <c r="E139" s="18">
        <f>Primarios!N129</f>
        <v>0</v>
      </c>
      <c r="F139" s="18">
        <f>Primarios!O129</f>
        <v>0</v>
      </c>
      <c r="G139" s="18">
        <f>Primarios!P129</f>
        <v>0</v>
      </c>
      <c r="H139" s="18">
        <f>Primarios!Q129</f>
        <v>0</v>
      </c>
      <c r="I139" s="18">
        <f>Primarios!R129</f>
        <v>0</v>
      </c>
      <c r="J139" s="18">
        <f>Primarios!S129</f>
        <v>0</v>
      </c>
      <c r="K139" s="18">
        <f>Primarios!T129</f>
        <v>0</v>
      </c>
      <c r="L139" s="18">
        <f>Primarios!U129</f>
        <v>0</v>
      </c>
    </row>
    <row r="140" spans="1:12" x14ac:dyDescent="0.2">
      <c r="A140" s="53">
        <v>0.42708333333333298</v>
      </c>
      <c r="B140" s="16">
        <f>Primarios!A130</f>
        <v>124</v>
      </c>
      <c r="C140" s="1">
        <f>Primarios!B130</f>
        <v>0</v>
      </c>
      <c r="D140" s="18">
        <f>Primarios!M130</f>
        <v>0</v>
      </c>
      <c r="E140" s="18">
        <f>Primarios!N130</f>
        <v>0</v>
      </c>
      <c r="F140" s="18">
        <f>Primarios!O130</f>
        <v>0</v>
      </c>
      <c r="G140" s="18">
        <f>Primarios!P130</f>
        <v>0</v>
      </c>
      <c r="H140" s="18">
        <f>Primarios!Q130</f>
        <v>0</v>
      </c>
      <c r="I140" s="18">
        <f>Primarios!R130</f>
        <v>0</v>
      </c>
      <c r="J140" s="18">
        <f>Primarios!S130</f>
        <v>0</v>
      </c>
      <c r="K140" s="18">
        <f>Primarios!T130</f>
        <v>0</v>
      </c>
      <c r="L140" s="18">
        <f>Primarios!U130</f>
        <v>0</v>
      </c>
    </row>
    <row r="141" spans="1:12" x14ac:dyDescent="0.2">
      <c r="A141" s="51">
        <v>0.43055555555555602</v>
      </c>
      <c r="B141" s="16">
        <f>Primarios!A131</f>
        <v>125</v>
      </c>
      <c r="C141" s="1">
        <f>Primarios!B131</f>
        <v>0</v>
      </c>
      <c r="D141" s="18">
        <f>Primarios!M131</f>
        <v>0</v>
      </c>
      <c r="E141" s="18">
        <f>Primarios!N131</f>
        <v>0</v>
      </c>
      <c r="F141" s="18">
        <f>Primarios!O131</f>
        <v>0</v>
      </c>
      <c r="G141" s="18">
        <f>Primarios!P131</f>
        <v>0</v>
      </c>
      <c r="H141" s="18">
        <f>Primarios!Q131</f>
        <v>0</v>
      </c>
      <c r="I141" s="18">
        <f>Primarios!R131</f>
        <v>0</v>
      </c>
      <c r="J141" s="18">
        <f>Primarios!S131</f>
        <v>0</v>
      </c>
      <c r="K141" s="18">
        <f>Primarios!T131</f>
        <v>0</v>
      </c>
      <c r="L141" s="18">
        <f>Primarios!U131</f>
        <v>0</v>
      </c>
    </row>
    <row r="142" spans="1:12" x14ac:dyDescent="0.2">
      <c r="A142" s="53">
        <v>0.43402777777777801</v>
      </c>
      <c r="B142" s="16">
        <f>Primarios!A132</f>
        <v>126</v>
      </c>
      <c r="C142" s="1">
        <f>Primarios!B132</f>
        <v>0</v>
      </c>
      <c r="D142" s="18">
        <f>Primarios!M132</f>
        <v>0</v>
      </c>
      <c r="E142" s="18">
        <f>Primarios!N132</f>
        <v>0</v>
      </c>
      <c r="F142" s="18">
        <f>Primarios!O132</f>
        <v>0</v>
      </c>
      <c r="G142" s="18">
        <f>Primarios!P132</f>
        <v>0</v>
      </c>
      <c r="H142" s="18">
        <f>Primarios!Q132</f>
        <v>0</v>
      </c>
      <c r="I142" s="18">
        <f>Primarios!R132</f>
        <v>0</v>
      </c>
      <c r="J142" s="18">
        <f>Primarios!S132</f>
        <v>0</v>
      </c>
      <c r="K142" s="18">
        <f>Primarios!T132</f>
        <v>0</v>
      </c>
      <c r="L142" s="18">
        <f>Primarios!U132</f>
        <v>0</v>
      </c>
    </row>
    <row r="143" spans="1:12" x14ac:dyDescent="0.2">
      <c r="A143" s="51">
        <v>0.4375</v>
      </c>
      <c r="B143" s="16">
        <f>Primarios!A133</f>
        <v>127</v>
      </c>
      <c r="C143" s="1">
        <f>Primarios!B133</f>
        <v>0</v>
      </c>
      <c r="D143" s="18">
        <f>Primarios!M133</f>
        <v>0</v>
      </c>
      <c r="E143" s="18">
        <f>Primarios!N133</f>
        <v>0</v>
      </c>
      <c r="F143" s="18">
        <f>Primarios!O133</f>
        <v>0</v>
      </c>
      <c r="G143" s="18">
        <f>Primarios!P133</f>
        <v>0</v>
      </c>
      <c r="H143" s="18">
        <f>Primarios!Q133</f>
        <v>0</v>
      </c>
      <c r="I143" s="18">
        <f>Primarios!R133</f>
        <v>0</v>
      </c>
      <c r="J143" s="18">
        <f>Primarios!S133</f>
        <v>0</v>
      </c>
      <c r="K143" s="18">
        <f>Primarios!T133</f>
        <v>0</v>
      </c>
      <c r="L143" s="18">
        <f>Primarios!U133</f>
        <v>0</v>
      </c>
    </row>
    <row r="144" spans="1:12" x14ac:dyDescent="0.2">
      <c r="A144" s="53">
        <v>0.44097222222222199</v>
      </c>
      <c r="B144" s="16">
        <f>Primarios!A134</f>
        <v>128</v>
      </c>
      <c r="C144" s="1">
        <f>Primarios!B134</f>
        <v>0</v>
      </c>
      <c r="D144" s="18">
        <f>Primarios!M134</f>
        <v>0</v>
      </c>
      <c r="E144" s="18">
        <f>Primarios!N134</f>
        <v>0</v>
      </c>
      <c r="F144" s="18">
        <f>Primarios!O134</f>
        <v>0</v>
      </c>
      <c r="G144" s="18">
        <f>Primarios!P134</f>
        <v>0</v>
      </c>
      <c r="H144" s="18">
        <f>Primarios!Q134</f>
        <v>0</v>
      </c>
      <c r="I144" s="18">
        <f>Primarios!R134</f>
        <v>0</v>
      </c>
      <c r="J144" s="18">
        <f>Primarios!S134</f>
        <v>0</v>
      </c>
      <c r="K144" s="18">
        <f>Primarios!T134</f>
        <v>0</v>
      </c>
      <c r="L144" s="18">
        <f>Primarios!U134</f>
        <v>0</v>
      </c>
    </row>
    <row r="145" spans="1:12" x14ac:dyDescent="0.2">
      <c r="A145" s="51">
        <v>0.44444444444444398</v>
      </c>
      <c r="B145" s="16">
        <f>Primarios!A135</f>
        <v>129</v>
      </c>
      <c r="C145" s="1">
        <f>Primarios!B135</f>
        <v>0</v>
      </c>
      <c r="D145" s="18">
        <f>Primarios!M135</f>
        <v>0</v>
      </c>
      <c r="E145" s="18">
        <f>Primarios!N135</f>
        <v>0</v>
      </c>
      <c r="F145" s="18">
        <f>Primarios!O135</f>
        <v>0</v>
      </c>
      <c r="G145" s="18">
        <f>Primarios!P135</f>
        <v>0</v>
      </c>
      <c r="H145" s="18">
        <f>Primarios!Q135</f>
        <v>0</v>
      </c>
      <c r="I145" s="18">
        <f>Primarios!R135</f>
        <v>0</v>
      </c>
      <c r="J145" s="18">
        <f>Primarios!S135</f>
        <v>0</v>
      </c>
      <c r="K145" s="18">
        <f>Primarios!T135</f>
        <v>0</v>
      </c>
      <c r="L145" s="18">
        <f>Primarios!U135</f>
        <v>0</v>
      </c>
    </row>
    <row r="146" spans="1:12" x14ac:dyDescent="0.2">
      <c r="A146" s="53">
        <v>0.44791666666666702</v>
      </c>
      <c r="B146" s="16">
        <f>Primarios!A136</f>
        <v>130</v>
      </c>
      <c r="C146" s="1">
        <f>Primarios!B136</f>
        <v>0</v>
      </c>
      <c r="D146" s="18">
        <f>Primarios!M136</f>
        <v>0</v>
      </c>
      <c r="E146" s="18">
        <f>Primarios!N136</f>
        <v>0</v>
      </c>
      <c r="F146" s="18">
        <f>Primarios!O136</f>
        <v>0</v>
      </c>
      <c r="G146" s="18">
        <f>Primarios!P136</f>
        <v>0</v>
      </c>
      <c r="H146" s="18">
        <f>Primarios!Q136</f>
        <v>0</v>
      </c>
      <c r="I146" s="18">
        <f>Primarios!R136</f>
        <v>0</v>
      </c>
      <c r="J146" s="18">
        <f>Primarios!S136</f>
        <v>0</v>
      </c>
      <c r="K146" s="18">
        <f>Primarios!T136</f>
        <v>0</v>
      </c>
      <c r="L146" s="18">
        <f>Primarios!U136</f>
        <v>0</v>
      </c>
    </row>
    <row r="147" spans="1:12" x14ac:dyDescent="0.2">
      <c r="A147" s="51">
        <v>0.45138888888888901</v>
      </c>
      <c r="B147" s="16">
        <f>Primarios!A137</f>
        <v>131</v>
      </c>
      <c r="C147" s="1">
        <f>Primarios!B137</f>
        <v>0</v>
      </c>
      <c r="D147" s="18">
        <f>Primarios!M137</f>
        <v>0</v>
      </c>
      <c r="E147" s="18">
        <f>Primarios!N137</f>
        <v>0</v>
      </c>
      <c r="F147" s="18">
        <f>Primarios!O137</f>
        <v>0</v>
      </c>
      <c r="G147" s="18">
        <f>Primarios!P137</f>
        <v>0</v>
      </c>
      <c r="H147" s="18">
        <f>Primarios!Q137</f>
        <v>0</v>
      </c>
      <c r="I147" s="18">
        <f>Primarios!R137</f>
        <v>0</v>
      </c>
      <c r="J147" s="18">
        <f>Primarios!S137</f>
        <v>0</v>
      </c>
      <c r="K147" s="18">
        <f>Primarios!T137</f>
        <v>0</v>
      </c>
      <c r="L147" s="18">
        <f>Primarios!U137</f>
        <v>0</v>
      </c>
    </row>
    <row r="148" spans="1:12" x14ac:dyDescent="0.2">
      <c r="A148" s="53">
        <v>0.45486111111111099</v>
      </c>
      <c r="B148" s="16">
        <f>Primarios!A138</f>
        <v>132</v>
      </c>
      <c r="C148" s="1">
        <f>Primarios!B138</f>
        <v>0</v>
      </c>
      <c r="D148" s="18">
        <f>Primarios!M138</f>
        <v>0</v>
      </c>
      <c r="E148" s="18">
        <f>Primarios!N138</f>
        <v>0</v>
      </c>
      <c r="F148" s="18">
        <f>Primarios!O138</f>
        <v>0</v>
      </c>
      <c r="G148" s="18">
        <f>Primarios!P138</f>
        <v>0</v>
      </c>
      <c r="H148" s="18">
        <f>Primarios!Q138</f>
        <v>0</v>
      </c>
      <c r="I148" s="18">
        <f>Primarios!R138</f>
        <v>0</v>
      </c>
      <c r="J148" s="18">
        <f>Primarios!S138</f>
        <v>0</v>
      </c>
      <c r="K148" s="18">
        <f>Primarios!T138</f>
        <v>0</v>
      </c>
      <c r="L148" s="18">
        <f>Primarios!U138</f>
        <v>0</v>
      </c>
    </row>
    <row r="149" spans="1:12" x14ac:dyDescent="0.2">
      <c r="A149" s="51">
        <v>0.45833333333333298</v>
      </c>
      <c r="B149" s="16">
        <f>Primarios!A139</f>
        <v>133</v>
      </c>
      <c r="C149" s="1">
        <f>Primarios!B139</f>
        <v>0</v>
      </c>
      <c r="D149" s="18">
        <f>Primarios!M139</f>
        <v>0</v>
      </c>
      <c r="E149" s="18">
        <f>Primarios!N139</f>
        <v>0</v>
      </c>
      <c r="F149" s="18">
        <f>Primarios!O139</f>
        <v>0</v>
      </c>
      <c r="G149" s="18">
        <f>Primarios!P139</f>
        <v>0</v>
      </c>
      <c r="H149" s="18">
        <f>Primarios!Q139</f>
        <v>0</v>
      </c>
      <c r="I149" s="18">
        <f>Primarios!R139</f>
        <v>0</v>
      </c>
      <c r="J149" s="18">
        <f>Primarios!S139</f>
        <v>0</v>
      </c>
      <c r="K149" s="18">
        <f>Primarios!T139</f>
        <v>0</v>
      </c>
      <c r="L149" s="18">
        <f>Primarios!U139</f>
        <v>0</v>
      </c>
    </row>
    <row r="150" spans="1:12" x14ac:dyDescent="0.2">
      <c r="A150" s="53">
        <v>0.46180555555555602</v>
      </c>
      <c r="B150" s="16">
        <f>Primarios!A140</f>
        <v>134</v>
      </c>
      <c r="C150" s="1">
        <f>Primarios!B140</f>
        <v>0</v>
      </c>
      <c r="D150" s="18">
        <f>Primarios!M140</f>
        <v>0</v>
      </c>
      <c r="E150" s="18">
        <f>Primarios!N140</f>
        <v>0</v>
      </c>
      <c r="F150" s="18">
        <f>Primarios!O140</f>
        <v>0</v>
      </c>
      <c r="G150" s="18">
        <f>Primarios!P140</f>
        <v>0</v>
      </c>
      <c r="H150" s="18">
        <f>Primarios!Q140</f>
        <v>0</v>
      </c>
      <c r="I150" s="18">
        <f>Primarios!R140</f>
        <v>0</v>
      </c>
      <c r="J150" s="18">
        <f>Primarios!S140</f>
        <v>0</v>
      </c>
      <c r="K150" s="18">
        <f>Primarios!T140</f>
        <v>0</v>
      </c>
      <c r="L150" s="18">
        <f>Primarios!U140</f>
        <v>0</v>
      </c>
    </row>
    <row r="151" spans="1:12" x14ac:dyDescent="0.2">
      <c r="A151" s="51">
        <v>0.46527777777777801</v>
      </c>
      <c r="B151" s="16">
        <f>Primarios!A141</f>
        <v>135</v>
      </c>
      <c r="C151" s="1">
        <f>Primarios!B141</f>
        <v>0</v>
      </c>
      <c r="D151" s="18">
        <f>Primarios!M141</f>
        <v>0</v>
      </c>
      <c r="E151" s="18">
        <f>Primarios!N141</f>
        <v>0</v>
      </c>
      <c r="F151" s="18">
        <f>Primarios!O141</f>
        <v>0</v>
      </c>
      <c r="G151" s="18">
        <f>Primarios!P141</f>
        <v>0</v>
      </c>
      <c r="H151" s="18">
        <f>Primarios!Q141</f>
        <v>0</v>
      </c>
      <c r="I151" s="18">
        <f>Primarios!R141</f>
        <v>0</v>
      </c>
      <c r="J151" s="18">
        <f>Primarios!S141</f>
        <v>0</v>
      </c>
      <c r="K151" s="18">
        <f>Primarios!T141</f>
        <v>0</v>
      </c>
      <c r="L151" s="18">
        <f>Primarios!U141</f>
        <v>0</v>
      </c>
    </row>
    <row r="152" spans="1:12" x14ac:dyDescent="0.2">
      <c r="A152" s="53">
        <v>0.46875</v>
      </c>
      <c r="B152" s="16">
        <f>Primarios!A142</f>
        <v>136</v>
      </c>
      <c r="C152" s="1">
        <f>Primarios!B142</f>
        <v>0</v>
      </c>
      <c r="D152" s="18">
        <f>Primarios!M142</f>
        <v>0</v>
      </c>
      <c r="E152" s="18">
        <f>Primarios!N142</f>
        <v>0</v>
      </c>
      <c r="F152" s="18">
        <f>Primarios!O142</f>
        <v>0</v>
      </c>
      <c r="G152" s="18">
        <f>Primarios!P142</f>
        <v>0</v>
      </c>
      <c r="H152" s="18">
        <f>Primarios!Q142</f>
        <v>0</v>
      </c>
      <c r="I152" s="18">
        <f>Primarios!R142</f>
        <v>0</v>
      </c>
      <c r="J152" s="18">
        <f>Primarios!S142</f>
        <v>0</v>
      </c>
      <c r="K152" s="18">
        <f>Primarios!T142</f>
        <v>0</v>
      </c>
      <c r="L152" s="18">
        <f>Primarios!U142</f>
        <v>0</v>
      </c>
    </row>
    <row r="153" spans="1:12" x14ac:dyDescent="0.2">
      <c r="A153" s="51">
        <v>0.47222222222222199</v>
      </c>
      <c r="B153" s="16">
        <f>Primarios!A143</f>
        <v>137</v>
      </c>
      <c r="C153" s="1">
        <f>Primarios!B143</f>
        <v>0</v>
      </c>
      <c r="D153" s="18">
        <f>Primarios!M143</f>
        <v>0</v>
      </c>
      <c r="E153" s="18">
        <f>Primarios!N143</f>
        <v>0</v>
      </c>
      <c r="F153" s="18">
        <f>Primarios!O143</f>
        <v>0</v>
      </c>
      <c r="G153" s="18">
        <f>Primarios!P143</f>
        <v>0</v>
      </c>
      <c r="H153" s="18">
        <f>Primarios!Q143</f>
        <v>0</v>
      </c>
      <c r="I153" s="18">
        <f>Primarios!R143</f>
        <v>0</v>
      </c>
      <c r="J153" s="18">
        <f>Primarios!S143</f>
        <v>0</v>
      </c>
      <c r="K153" s="18">
        <f>Primarios!T143</f>
        <v>0</v>
      </c>
      <c r="L153" s="18">
        <f>Primarios!U143</f>
        <v>0</v>
      </c>
    </row>
    <row r="154" spans="1:12" x14ac:dyDescent="0.2">
      <c r="A154" s="53">
        <v>0.47569444444444398</v>
      </c>
      <c r="B154" s="16">
        <f>Primarios!A144</f>
        <v>138</v>
      </c>
      <c r="C154" s="1">
        <f>Primarios!B144</f>
        <v>0</v>
      </c>
      <c r="D154" s="18">
        <f>Primarios!M144</f>
        <v>0</v>
      </c>
      <c r="E154" s="18">
        <f>Primarios!N144</f>
        <v>0</v>
      </c>
      <c r="F154" s="18">
        <f>Primarios!O144</f>
        <v>0</v>
      </c>
      <c r="G154" s="18">
        <f>Primarios!P144</f>
        <v>0</v>
      </c>
      <c r="H154" s="18">
        <f>Primarios!Q144</f>
        <v>0</v>
      </c>
      <c r="I154" s="18">
        <f>Primarios!R144</f>
        <v>0</v>
      </c>
      <c r="J154" s="18">
        <f>Primarios!S144</f>
        <v>0</v>
      </c>
      <c r="K154" s="18">
        <f>Primarios!T144</f>
        <v>0</v>
      </c>
      <c r="L154" s="18">
        <f>Primarios!U144</f>
        <v>0</v>
      </c>
    </row>
    <row r="155" spans="1:12" x14ac:dyDescent="0.2">
      <c r="A155" s="51">
        <v>0.47916666666666702</v>
      </c>
      <c r="B155" s="16">
        <f>Primarios!A145</f>
        <v>139</v>
      </c>
      <c r="C155" s="1">
        <f>Primarios!B145</f>
        <v>0</v>
      </c>
      <c r="D155" s="18">
        <f>Primarios!M145</f>
        <v>0</v>
      </c>
      <c r="E155" s="18">
        <f>Primarios!N145</f>
        <v>0</v>
      </c>
      <c r="F155" s="18">
        <f>Primarios!O145</f>
        <v>0</v>
      </c>
      <c r="G155" s="18">
        <f>Primarios!P145</f>
        <v>0</v>
      </c>
      <c r="H155" s="18">
        <f>Primarios!Q145</f>
        <v>0</v>
      </c>
      <c r="I155" s="18">
        <f>Primarios!R145</f>
        <v>0</v>
      </c>
      <c r="J155" s="18">
        <f>Primarios!S145</f>
        <v>0</v>
      </c>
      <c r="K155" s="18">
        <f>Primarios!T145</f>
        <v>0</v>
      </c>
      <c r="L155" s="18">
        <f>Primarios!U145</f>
        <v>0</v>
      </c>
    </row>
    <row r="156" spans="1:12" x14ac:dyDescent="0.2">
      <c r="A156" s="53">
        <v>0.48263888888888901</v>
      </c>
      <c r="B156" s="16">
        <f>Primarios!A146</f>
        <v>140</v>
      </c>
      <c r="C156" s="1">
        <f>Primarios!B146</f>
        <v>0</v>
      </c>
      <c r="D156" s="18">
        <f>Primarios!M146</f>
        <v>0</v>
      </c>
      <c r="E156" s="18">
        <f>Primarios!N146</f>
        <v>0</v>
      </c>
      <c r="F156" s="18">
        <f>Primarios!O146</f>
        <v>0</v>
      </c>
      <c r="G156" s="18">
        <f>Primarios!P146</f>
        <v>0</v>
      </c>
      <c r="H156" s="18">
        <f>Primarios!Q146</f>
        <v>0</v>
      </c>
      <c r="I156" s="18">
        <f>Primarios!R146</f>
        <v>0</v>
      </c>
      <c r="J156" s="18">
        <f>Primarios!S146</f>
        <v>0</v>
      </c>
      <c r="K156" s="18">
        <f>Primarios!T146</f>
        <v>0</v>
      </c>
      <c r="L156" s="18">
        <f>Primarios!U146</f>
        <v>0</v>
      </c>
    </row>
    <row r="157" spans="1:12" x14ac:dyDescent="0.2">
      <c r="A157" s="51">
        <v>0.48611111111111099</v>
      </c>
      <c r="B157" s="16">
        <f>Primarios!A147</f>
        <v>141</v>
      </c>
      <c r="C157" s="1">
        <f>Primarios!B147</f>
        <v>0</v>
      </c>
      <c r="D157" s="18">
        <f>Primarios!M147</f>
        <v>0</v>
      </c>
      <c r="E157" s="18">
        <f>Primarios!N147</f>
        <v>0</v>
      </c>
      <c r="F157" s="18">
        <f>Primarios!O147</f>
        <v>0</v>
      </c>
      <c r="G157" s="18">
        <f>Primarios!P147</f>
        <v>0</v>
      </c>
      <c r="H157" s="18">
        <f>Primarios!Q147</f>
        <v>0</v>
      </c>
      <c r="I157" s="18">
        <f>Primarios!R147</f>
        <v>0</v>
      </c>
      <c r="J157" s="18">
        <f>Primarios!S147</f>
        <v>0</v>
      </c>
      <c r="K157" s="18">
        <f>Primarios!T147</f>
        <v>0</v>
      </c>
      <c r="L157" s="18">
        <f>Primarios!U147</f>
        <v>0</v>
      </c>
    </row>
    <row r="158" spans="1:12" x14ac:dyDescent="0.2">
      <c r="A158" s="53">
        <v>0.48958333333333298</v>
      </c>
      <c r="B158" s="16">
        <f>Primarios!A148</f>
        <v>142</v>
      </c>
      <c r="C158" s="1">
        <f>Primarios!B148</f>
        <v>0</v>
      </c>
      <c r="D158" s="18">
        <f>Primarios!M148</f>
        <v>0</v>
      </c>
      <c r="E158" s="18">
        <f>Primarios!N148</f>
        <v>0</v>
      </c>
      <c r="F158" s="18">
        <f>Primarios!O148</f>
        <v>0</v>
      </c>
      <c r="G158" s="18">
        <f>Primarios!P148</f>
        <v>0</v>
      </c>
      <c r="H158" s="18">
        <f>Primarios!Q148</f>
        <v>0</v>
      </c>
      <c r="I158" s="18">
        <f>Primarios!R148</f>
        <v>0</v>
      </c>
      <c r="J158" s="18">
        <f>Primarios!S148</f>
        <v>0</v>
      </c>
      <c r="K158" s="18">
        <f>Primarios!T148</f>
        <v>0</v>
      </c>
      <c r="L158" s="18">
        <f>Primarios!U148</f>
        <v>0</v>
      </c>
    </row>
    <row r="159" spans="1:12" x14ac:dyDescent="0.2">
      <c r="A159" s="51">
        <v>0.49305555555555602</v>
      </c>
      <c r="B159" s="16">
        <f>Primarios!A149</f>
        <v>143</v>
      </c>
      <c r="C159" s="1">
        <f>Primarios!B149</f>
        <v>0</v>
      </c>
      <c r="D159" s="18">
        <f>Primarios!M149</f>
        <v>0</v>
      </c>
      <c r="E159" s="18">
        <f>Primarios!N149</f>
        <v>0</v>
      </c>
      <c r="F159" s="18">
        <f>Primarios!O149</f>
        <v>0</v>
      </c>
      <c r="G159" s="18">
        <f>Primarios!P149</f>
        <v>0</v>
      </c>
      <c r="H159" s="18">
        <f>Primarios!Q149</f>
        <v>0</v>
      </c>
      <c r="I159" s="18">
        <f>Primarios!R149</f>
        <v>0</v>
      </c>
      <c r="J159" s="18">
        <f>Primarios!S149</f>
        <v>0</v>
      </c>
      <c r="K159" s="18">
        <f>Primarios!T149</f>
        <v>0</v>
      </c>
      <c r="L159" s="18">
        <f>Primarios!U149</f>
        <v>0</v>
      </c>
    </row>
    <row r="160" spans="1:12" x14ac:dyDescent="0.2">
      <c r="A160" s="53">
        <v>0.49652777777777801</v>
      </c>
      <c r="B160" s="16">
        <f>Primarios!A150</f>
        <v>144</v>
      </c>
      <c r="C160" s="1">
        <f>Primarios!B150</f>
        <v>0</v>
      </c>
      <c r="D160" s="18">
        <f>Primarios!M150</f>
        <v>0</v>
      </c>
      <c r="E160" s="18">
        <f>Primarios!N150</f>
        <v>0</v>
      </c>
      <c r="F160" s="18">
        <f>Primarios!O150</f>
        <v>0</v>
      </c>
      <c r="G160" s="18">
        <f>Primarios!P150</f>
        <v>0</v>
      </c>
      <c r="H160" s="18">
        <f>Primarios!Q150</f>
        <v>0</v>
      </c>
      <c r="I160" s="18">
        <f>Primarios!R150</f>
        <v>0</v>
      </c>
      <c r="J160" s="18">
        <f>Primarios!S150</f>
        <v>0</v>
      </c>
      <c r="K160" s="18">
        <f>Primarios!T150</f>
        <v>0</v>
      </c>
      <c r="L160" s="18">
        <f>Primarios!U150</f>
        <v>0</v>
      </c>
    </row>
    <row r="161" spans="1:12" x14ac:dyDescent="0.2">
      <c r="A161" s="51">
        <v>0.5</v>
      </c>
      <c r="B161" s="16">
        <f>Primarios!A151</f>
        <v>145</v>
      </c>
      <c r="C161" s="1">
        <f>Primarios!B151</f>
        <v>0</v>
      </c>
      <c r="D161" s="18">
        <f>Primarios!M151</f>
        <v>0</v>
      </c>
      <c r="E161" s="18">
        <f>Primarios!N151</f>
        <v>0</v>
      </c>
      <c r="F161" s="18">
        <f>Primarios!O151</f>
        <v>0</v>
      </c>
      <c r="G161" s="18">
        <f>Primarios!P151</f>
        <v>0</v>
      </c>
      <c r="H161" s="18">
        <f>Primarios!Q151</f>
        <v>0</v>
      </c>
      <c r="I161" s="18">
        <f>Primarios!R151</f>
        <v>0</v>
      </c>
      <c r="J161" s="18">
        <f>Primarios!S151</f>
        <v>0</v>
      </c>
      <c r="K161" s="18">
        <f>Primarios!T151</f>
        <v>0</v>
      </c>
      <c r="L161" s="18">
        <f>Primarios!U151</f>
        <v>0</v>
      </c>
    </row>
    <row r="162" spans="1:12" x14ac:dyDescent="0.2">
      <c r="A162" s="53">
        <v>0.50347222222222199</v>
      </c>
      <c r="B162" s="16">
        <f>Primarios!A152</f>
        <v>146</v>
      </c>
      <c r="C162" s="1">
        <f>Primarios!B152</f>
        <v>0</v>
      </c>
      <c r="D162" s="18">
        <f>Primarios!M152</f>
        <v>0</v>
      </c>
      <c r="E162" s="18">
        <f>Primarios!N152</f>
        <v>0</v>
      </c>
      <c r="F162" s="18">
        <f>Primarios!O152</f>
        <v>0</v>
      </c>
      <c r="G162" s="18">
        <f>Primarios!P152</f>
        <v>0</v>
      </c>
      <c r="H162" s="18">
        <f>Primarios!Q152</f>
        <v>0</v>
      </c>
      <c r="I162" s="18">
        <f>Primarios!R152</f>
        <v>0</v>
      </c>
      <c r="J162" s="18">
        <f>Primarios!S152</f>
        <v>0</v>
      </c>
      <c r="K162" s="18">
        <f>Primarios!T152</f>
        <v>0</v>
      </c>
      <c r="L162" s="18">
        <f>Primarios!U152</f>
        <v>0</v>
      </c>
    </row>
    <row r="163" spans="1:12" x14ac:dyDescent="0.2">
      <c r="A163" s="51">
        <v>0.50694444444444398</v>
      </c>
      <c r="B163" s="16">
        <f>Primarios!A153</f>
        <v>147</v>
      </c>
      <c r="C163" s="1">
        <f>Primarios!B153</f>
        <v>0</v>
      </c>
      <c r="D163" s="18">
        <f>Primarios!M153</f>
        <v>0</v>
      </c>
      <c r="E163" s="18">
        <f>Primarios!N153</f>
        <v>0</v>
      </c>
      <c r="F163" s="18">
        <f>Primarios!O153</f>
        <v>0</v>
      </c>
      <c r="G163" s="18">
        <f>Primarios!P153</f>
        <v>0</v>
      </c>
      <c r="H163" s="18">
        <f>Primarios!Q153</f>
        <v>0</v>
      </c>
      <c r="I163" s="18">
        <f>Primarios!R153</f>
        <v>0</v>
      </c>
      <c r="J163" s="18">
        <f>Primarios!S153</f>
        <v>0</v>
      </c>
      <c r="K163" s="18">
        <f>Primarios!T153</f>
        <v>0</v>
      </c>
      <c r="L163" s="18">
        <f>Primarios!U153</f>
        <v>0</v>
      </c>
    </row>
    <row r="164" spans="1:12" x14ac:dyDescent="0.2">
      <c r="A164" s="53">
        <v>0.51041666666666696</v>
      </c>
      <c r="B164" s="16">
        <f>Primarios!A154</f>
        <v>148</v>
      </c>
      <c r="C164" s="1">
        <f>Primarios!B154</f>
        <v>0</v>
      </c>
      <c r="D164" s="18">
        <f>Primarios!M154</f>
        <v>0</v>
      </c>
      <c r="E164" s="18">
        <f>Primarios!N154</f>
        <v>0</v>
      </c>
      <c r="F164" s="18">
        <f>Primarios!O154</f>
        <v>0</v>
      </c>
      <c r="G164" s="18">
        <f>Primarios!P154</f>
        <v>0</v>
      </c>
      <c r="H164" s="18">
        <f>Primarios!Q154</f>
        <v>0</v>
      </c>
      <c r="I164" s="18">
        <f>Primarios!R154</f>
        <v>0</v>
      </c>
      <c r="J164" s="18">
        <f>Primarios!S154</f>
        <v>0</v>
      </c>
      <c r="K164" s="18">
        <f>Primarios!T154</f>
        <v>0</v>
      </c>
      <c r="L164" s="18">
        <f>Primarios!U154</f>
        <v>0</v>
      </c>
    </row>
    <row r="165" spans="1:12" x14ac:dyDescent="0.2">
      <c r="A165" s="51">
        <v>0.51388888888888895</v>
      </c>
      <c r="B165" s="16">
        <f>Primarios!A155</f>
        <v>149</v>
      </c>
      <c r="C165" s="1">
        <f>Primarios!B155</f>
        <v>0</v>
      </c>
      <c r="D165" s="18">
        <f>Primarios!M155</f>
        <v>0</v>
      </c>
      <c r="E165" s="18">
        <f>Primarios!N155</f>
        <v>0</v>
      </c>
      <c r="F165" s="18">
        <f>Primarios!O155</f>
        <v>0</v>
      </c>
      <c r="G165" s="18">
        <f>Primarios!P155</f>
        <v>0</v>
      </c>
      <c r="H165" s="18">
        <f>Primarios!Q155</f>
        <v>0</v>
      </c>
      <c r="I165" s="18">
        <f>Primarios!R155</f>
        <v>0</v>
      </c>
      <c r="J165" s="18">
        <f>Primarios!S155</f>
        <v>0</v>
      </c>
      <c r="K165" s="18">
        <f>Primarios!T155</f>
        <v>0</v>
      </c>
      <c r="L165" s="18">
        <f>Primarios!U155</f>
        <v>0</v>
      </c>
    </row>
    <row r="166" spans="1:12" x14ac:dyDescent="0.2">
      <c r="A166" s="53">
        <v>0.51736111111111105</v>
      </c>
      <c r="B166" s="16">
        <f>Primarios!A156</f>
        <v>150</v>
      </c>
      <c r="C166" s="1">
        <f>Primarios!B156</f>
        <v>0</v>
      </c>
      <c r="D166" s="18">
        <f>Primarios!M156</f>
        <v>0</v>
      </c>
      <c r="E166" s="18">
        <f>Primarios!N156</f>
        <v>0</v>
      </c>
      <c r="F166" s="18">
        <f>Primarios!O156</f>
        <v>0</v>
      </c>
      <c r="G166" s="18">
        <f>Primarios!P156</f>
        <v>0</v>
      </c>
      <c r="H166" s="18">
        <f>Primarios!Q156</f>
        <v>0</v>
      </c>
      <c r="I166" s="18">
        <f>Primarios!R156</f>
        <v>0</v>
      </c>
      <c r="J166" s="18">
        <f>Primarios!S156</f>
        <v>0</v>
      </c>
      <c r="K166" s="18">
        <f>Primarios!T156</f>
        <v>0</v>
      </c>
      <c r="L166" s="18">
        <f>Primarios!U156</f>
        <v>0</v>
      </c>
    </row>
    <row r="167" spans="1:12" x14ac:dyDescent="0.2">
      <c r="A167" s="51">
        <v>0.52083333333333304</v>
      </c>
      <c r="B167" s="16">
        <f>Primarios!A157</f>
        <v>151</v>
      </c>
      <c r="C167" s="1">
        <f>Primarios!B157</f>
        <v>0</v>
      </c>
      <c r="D167" s="18">
        <f>Primarios!M157</f>
        <v>0</v>
      </c>
      <c r="E167" s="18">
        <f>Primarios!N157</f>
        <v>0</v>
      </c>
      <c r="F167" s="18">
        <f>Primarios!O157</f>
        <v>0</v>
      </c>
      <c r="G167" s="18">
        <f>Primarios!P157</f>
        <v>0</v>
      </c>
      <c r="H167" s="18">
        <f>Primarios!Q157</f>
        <v>0</v>
      </c>
      <c r="I167" s="18">
        <f>Primarios!R157</f>
        <v>0</v>
      </c>
      <c r="J167" s="18">
        <f>Primarios!S157</f>
        <v>0</v>
      </c>
      <c r="K167" s="18">
        <f>Primarios!T157</f>
        <v>0</v>
      </c>
      <c r="L167" s="18">
        <f>Primarios!U157</f>
        <v>0</v>
      </c>
    </row>
    <row r="168" spans="1:12" x14ac:dyDescent="0.2">
      <c r="A168" s="53">
        <v>0.52430555555555602</v>
      </c>
      <c r="B168" s="16">
        <f>Primarios!A158</f>
        <v>152</v>
      </c>
      <c r="C168" s="1">
        <f>Primarios!B158</f>
        <v>0</v>
      </c>
      <c r="D168" s="18">
        <f>Primarios!M158</f>
        <v>0</v>
      </c>
      <c r="E168" s="18">
        <f>Primarios!N158</f>
        <v>0</v>
      </c>
      <c r="F168" s="18">
        <f>Primarios!O158</f>
        <v>0</v>
      </c>
      <c r="G168" s="18">
        <f>Primarios!P158</f>
        <v>0</v>
      </c>
      <c r="H168" s="18">
        <f>Primarios!Q158</f>
        <v>0</v>
      </c>
      <c r="I168" s="18">
        <f>Primarios!R158</f>
        <v>0</v>
      </c>
      <c r="J168" s="18">
        <f>Primarios!S158</f>
        <v>0</v>
      </c>
      <c r="K168" s="18">
        <f>Primarios!T158</f>
        <v>0</v>
      </c>
      <c r="L168" s="18">
        <f>Primarios!U158</f>
        <v>0</v>
      </c>
    </row>
    <row r="169" spans="1:12" x14ac:dyDescent="0.2">
      <c r="A169" s="51">
        <v>0.52777777777777801</v>
      </c>
      <c r="B169" s="16">
        <f>Primarios!A159</f>
        <v>153</v>
      </c>
      <c r="C169" s="1">
        <f>Primarios!B159</f>
        <v>0</v>
      </c>
      <c r="D169" s="18">
        <f>Primarios!M159</f>
        <v>0</v>
      </c>
      <c r="E169" s="18">
        <f>Primarios!N159</f>
        <v>0</v>
      </c>
      <c r="F169" s="18">
        <f>Primarios!O159</f>
        <v>0</v>
      </c>
      <c r="G169" s="18">
        <f>Primarios!P159</f>
        <v>0</v>
      </c>
      <c r="H169" s="18">
        <f>Primarios!Q159</f>
        <v>0</v>
      </c>
      <c r="I169" s="18">
        <f>Primarios!R159</f>
        <v>0</v>
      </c>
      <c r="J169" s="18">
        <f>Primarios!S159</f>
        <v>0</v>
      </c>
      <c r="K169" s="18">
        <f>Primarios!T159</f>
        <v>0</v>
      </c>
      <c r="L169" s="18">
        <f>Primarios!U159</f>
        <v>0</v>
      </c>
    </row>
    <row r="170" spans="1:12" x14ac:dyDescent="0.2">
      <c r="A170" s="53">
        <v>0.53125</v>
      </c>
      <c r="B170" s="16">
        <f>Primarios!A160</f>
        <v>154</v>
      </c>
      <c r="C170" s="1">
        <f>Primarios!B160</f>
        <v>0</v>
      </c>
      <c r="D170" s="18">
        <f>Primarios!M160</f>
        <v>0</v>
      </c>
      <c r="E170" s="18">
        <f>Primarios!N160</f>
        <v>0</v>
      </c>
      <c r="F170" s="18">
        <f>Primarios!O160</f>
        <v>0</v>
      </c>
      <c r="G170" s="18">
        <f>Primarios!P160</f>
        <v>0</v>
      </c>
      <c r="H170" s="18">
        <f>Primarios!Q160</f>
        <v>0</v>
      </c>
      <c r="I170" s="18">
        <f>Primarios!R160</f>
        <v>0</v>
      </c>
      <c r="J170" s="18">
        <f>Primarios!S160</f>
        <v>0</v>
      </c>
      <c r="K170" s="18">
        <f>Primarios!T160</f>
        <v>0</v>
      </c>
      <c r="L170" s="18">
        <f>Primarios!U160</f>
        <v>0</v>
      </c>
    </row>
    <row r="171" spans="1:12" x14ac:dyDescent="0.2">
      <c r="A171" s="51">
        <v>0.53472222222222199</v>
      </c>
      <c r="B171" s="16">
        <f>Primarios!A161</f>
        <v>155</v>
      </c>
      <c r="C171" s="1">
        <f>Primarios!B161</f>
        <v>0</v>
      </c>
      <c r="D171" s="18">
        <f>Primarios!M161</f>
        <v>0</v>
      </c>
      <c r="E171" s="18">
        <f>Primarios!N161</f>
        <v>0</v>
      </c>
      <c r="F171" s="18">
        <f>Primarios!O161</f>
        <v>0</v>
      </c>
      <c r="G171" s="18">
        <f>Primarios!P161</f>
        <v>0</v>
      </c>
      <c r="H171" s="18">
        <f>Primarios!Q161</f>
        <v>0</v>
      </c>
      <c r="I171" s="18">
        <f>Primarios!R161</f>
        <v>0</v>
      </c>
      <c r="J171" s="18">
        <f>Primarios!S161</f>
        <v>0</v>
      </c>
      <c r="K171" s="18">
        <f>Primarios!T161</f>
        <v>0</v>
      </c>
      <c r="L171" s="18">
        <f>Primarios!U161</f>
        <v>0</v>
      </c>
    </row>
    <row r="172" spans="1:12" x14ac:dyDescent="0.2">
      <c r="A172" s="53">
        <v>0.53819444444444398</v>
      </c>
      <c r="B172" s="16">
        <f>Primarios!A162</f>
        <v>156</v>
      </c>
      <c r="C172" s="1">
        <f>Primarios!B162</f>
        <v>0</v>
      </c>
      <c r="D172" s="18">
        <f>Primarios!M162</f>
        <v>0</v>
      </c>
      <c r="E172" s="18">
        <f>Primarios!N162</f>
        <v>0</v>
      </c>
      <c r="F172" s="18">
        <f>Primarios!O162</f>
        <v>0</v>
      </c>
      <c r="G172" s="18">
        <f>Primarios!P162</f>
        <v>0</v>
      </c>
      <c r="H172" s="18">
        <f>Primarios!Q162</f>
        <v>0</v>
      </c>
      <c r="I172" s="18">
        <f>Primarios!R162</f>
        <v>0</v>
      </c>
      <c r="J172" s="18">
        <f>Primarios!S162</f>
        <v>0</v>
      </c>
      <c r="K172" s="18">
        <f>Primarios!T162</f>
        <v>0</v>
      </c>
      <c r="L172" s="18">
        <f>Primarios!U162</f>
        <v>0</v>
      </c>
    </row>
    <row r="173" spans="1:12" x14ac:dyDescent="0.2">
      <c r="A173" s="51">
        <v>0.54166666666666696</v>
      </c>
      <c r="B173" s="16">
        <f>Primarios!A163</f>
        <v>157</v>
      </c>
      <c r="C173" s="1">
        <f>Primarios!B163</f>
        <v>0</v>
      </c>
      <c r="D173" s="18">
        <f>Primarios!M163</f>
        <v>0</v>
      </c>
      <c r="E173" s="18">
        <f>Primarios!N163</f>
        <v>0</v>
      </c>
      <c r="F173" s="18">
        <f>Primarios!O163</f>
        <v>0</v>
      </c>
      <c r="G173" s="18">
        <f>Primarios!P163</f>
        <v>0</v>
      </c>
      <c r="H173" s="18">
        <f>Primarios!Q163</f>
        <v>0</v>
      </c>
      <c r="I173" s="18">
        <f>Primarios!R163</f>
        <v>0</v>
      </c>
      <c r="J173" s="18">
        <f>Primarios!S163</f>
        <v>0</v>
      </c>
      <c r="K173" s="18">
        <f>Primarios!T163</f>
        <v>0</v>
      </c>
      <c r="L173" s="18">
        <f>Primarios!U163</f>
        <v>0</v>
      </c>
    </row>
    <row r="174" spans="1:12" x14ac:dyDescent="0.2">
      <c r="A174" s="53">
        <v>0.54513888888888895</v>
      </c>
      <c r="B174" s="16">
        <f>Primarios!A164</f>
        <v>158</v>
      </c>
      <c r="C174" s="1">
        <f>Primarios!B164</f>
        <v>0</v>
      </c>
      <c r="D174" s="18">
        <f>Primarios!M164</f>
        <v>0</v>
      </c>
      <c r="E174" s="18">
        <f>Primarios!N164</f>
        <v>0</v>
      </c>
      <c r="F174" s="18">
        <f>Primarios!O164</f>
        <v>0</v>
      </c>
      <c r="G174" s="18">
        <f>Primarios!P164</f>
        <v>0</v>
      </c>
      <c r="H174" s="18">
        <f>Primarios!Q164</f>
        <v>0</v>
      </c>
      <c r="I174" s="18">
        <f>Primarios!R164</f>
        <v>0</v>
      </c>
      <c r="J174" s="18">
        <f>Primarios!S164</f>
        <v>0</v>
      </c>
      <c r="K174" s="18">
        <f>Primarios!T164</f>
        <v>0</v>
      </c>
      <c r="L174" s="18">
        <f>Primarios!U164</f>
        <v>0</v>
      </c>
    </row>
    <row r="175" spans="1:12" x14ac:dyDescent="0.2">
      <c r="A175" s="51">
        <v>0.54861111111111105</v>
      </c>
      <c r="B175" s="16">
        <f>Primarios!A165</f>
        <v>159</v>
      </c>
      <c r="C175" s="1">
        <f>Primarios!B165</f>
        <v>0</v>
      </c>
      <c r="D175" s="18">
        <f>Primarios!M165</f>
        <v>0</v>
      </c>
      <c r="E175" s="18">
        <f>Primarios!N165</f>
        <v>0</v>
      </c>
      <c r="F175" s="18">
        <f>Primarios!O165</f>
        <v>0</v>
      </c>
      <c r="G175" s="18">
        <f>Primarios!P165</f>
        <v>0</v>
      </c>
      <c r="H175" s="18">
        <f>Primarios!Q165</f>
        <v>0</v>
      </c>
      <c r="I175" s="18">
        <f>Primarios!R165</f>
        <v>0</v>
      </c>
      <c r="J175" s="18">
        <f>Primarios!S165</f>
        <v>0</v>
      </c>
      <c r="K175" s="18">
        <f>Primarios!T165</f>
        <v>0</v>
      </c>
      <c r="L175" s="18">
        <f>Primarios!U165</f>
        <v>0</v>
      </c>
    </row>
    <row r="176" spans="1:12" x14ac:dyDescent="0.2">
      <c r="A176" s="53">
        <v>0.55208333333333304</v>
      </c>
      <c r="B176" s="16">
        <f>Primarios!A166</f>
        <v>160</v>
      </c>
      <c r="C176" s="1">
        <f>Primarios!B166</f>
        <v>0</v>
      </c>
      <c r="D176" s="18">
        <f>Primarios!M166</f>
        <v>0</v>
      </c>
      <c r="E176" s="18">
        <f>Primarios!N166</f>
        <v>0</v>
      </c>
      <c r="F176" s="18">
        <f>Primarios!O166</f>
        <v>0</v>
      </c>
      <c r="G176" s="18">
        <f>Primarios!P166</f>
        <v>0</v>
      </c>
      <c r="H176" s="18">
        <f>Primarios!Q166</f>
        <v>0</v>
      </c>
      <c r="I176" s="18">
        <f>Primarios!R166</f>
        <v>0</v>
      </c>
      <c r="J176" s="18">
        <f>Primarios!S166</f>
        <v>0</v>
      </c>
      <c r="K176" s="18">
        <f>Primarios!T166</f>
        <v>0</v>
      </c>
      <c r="L176" s="18">
        <f>Primarios!U166</f>
        <v>0</v>
      </c>
    </row>
    <row r="177" spans="1:12" x14ac:dyDescent="0.2">
      <c r="A177" s="51">
        <v>0.55555555555555602</v>
      </c>
      <c r="B177" s="16">
        <f>Primarios!A167</f>
        <v>161</v>
      </c>
      <c r="C177" s="1">
        <f>Primarios!B167</f>
        <v>0</v>
      </c>
      <c r="D177" s="18">
        <f>Primarios!M167</f>
        <v>0</v>
      </c>
      <c r="E177" s="18">
        <f>Primarios!N167</f>
        <v>0</v>
      </c>
      <c r="F177" s="18">
        <f>Primarios!O167</f>
        <v>0</v>
      </c>
      <c r="G177" s="18">
        <f>Primarios!P167</f>
        <v>0</v>
      </c>
      <c r="H177" s="18">
        <f>Primarios!Q167</f>
        <v>0</v>
      </c>
      <c r="I177" s="18">
        <f>Primarios!R167</f>
        <v>0</v>
      </c>
      <c r="J177" s="18">
        <f>Primarios!S167</f>
        <v>0</v>
      </c>
      <c r="K177" s="18">
        <f>Primarios!T167</f>
        <v>0</v>
      </c>
      <c r="L177" s="18">
        <f>Primarios!U167</f>
        <v>0</v>
      </c>
    </row>
    <row r="178" spans="1:12" x14ac:dyDescent="0.2">
      <c r="A178" s="53">
        <v>0.55902777777777801</v>
      </c>
      <c r="B178" s="16">
        <f>Primarios!A168</f>
        <v>162</v>
      </c>
      <c r="C178" s="1">
        <f>Primarios!B168</f>
        <v>0</v>
      </c>
      <c r="D178" s="18">
        <f>Primarios!M168</f>
        <v>0</v>
      </c>
      <c r="E178" s="18">
        <f>Primarios!N168</f>
        <v>0</v>
      </c>
      <c r="F178" s="18">
        <f>Primarios!O168</f>
        <v>0</v>
      </c>
      <c r="G178" s="18">
        <f>Primarios!P168</f>
        <v>0</v>
      </c>
      <c r="H178" s="18">
        <f>Primarios!Q168</f>
        <v>0</v>
      </c>
      <c r="I178" s="18">
        <f>Primarios!R168</f>
        <v>0</v>
      </c>
      <c r="J178" s="18">
        <f>Primarios!S168</f>
        <v>0</v>
      </c>
      <c r="K178" s="18">
        <f>Primarios!T168</f>
        <v>0</v>
      </c>
      <c r="L178" s="18">
        <f>Primarios!U168</f>
        <v>0</v>
      </c>
    </row>
    <row r="179" spans="1:12" x14ac:dyDescent="0.2">
      <c r="A179" s="51">
        <v>0.5625</v>
      </c>
      <c r="B179" s="16">
        <f>Primarios!A169</f>
        <v>163</v>
      </c>
      <c r="C179" s="1">
        <f>Primarios!B169</f>
        <v>0</v>
      </c>
      <c r="D179" s="18">
        <f>Primarios!M169</f>
        <v>0</v>
      </c>
      <c r="E179" s="18">
        <f>Primarios!N169</f>
        <v>0</v>
      </c>
      <c r="F179" s="18">
        <f>Primarios!O169</f>
        <v>0</v>
      </c>
      <c r="G179" s="18">
        <f>Primarios!P169</f>
        <v>0</v>
      </c>
      <c r="H179" s="18">
        <f>Primarios!Q169</f>
        <v>0</v>
      </c>
      <c r="I179" s="18">
        <f>Primarios!R169</f>
        <v>0</v>
      </c>
      <c r="J179" s="18">
        <f>Primarios!S169</f>
        <v>0</v>
      </c>
      <c r="K179" s="18">
        <f>Primarios!T169</f>
        <v>0</v>
      </c>
      <c r="L179" s="18">
        <f>Primarios!U169</f>
        <v>0</v>
      </c>
    </row>
    <row r="180" spans="1:12" x14ac:dyDescent="0.2">
      <c r="A180" s="53">
        <v>0.56597222222222199</v>
      </c>
      <c r="B180" s="16">
        <f>Primarios!A170</f>
        <v>164</v>
      </c>
      <c r="C180" s="1">
        <f>Primarios!B170</f>
        <v>0</v>
      </c>
      <c r="D180" s="18">
        <f>Primarios!M170</f>
        <v>0</v>
      </c>
      <c r="E180" s="18">
        <f>Primarios!N170</f>
        <v>0</v>
      </c>
      <c r="F180" s="18">
        <f>Primarios!O170</f>
        <v>0</v>
      </c>
      <c r="G180" s="18">
        <f>Primarios!P170</f>
        <v>0</v>
      </c>
      <c r="H180" s="18">
        <f>Primarios!Q170</f>
        <v>0</v>
      </c>
      <c r="I180" s="18">
        <f>Primarios!R170</f>
        <v>0</v>
      </c>
      <c r="J180" s="18">
        <f>Primarios!S170</f>
        <v>0</v>
      </c>
      <c r="K180" s="18">
        <f>Primarios!T170</f>
        <v>0</v>
      </c>
      <c r="L180" s="18">
        <f>Primarios!U170</f>
        <v>0</v>
      </c>
    </row>
    <row r="181" spans="1:12" x14ac:dyDescent="0.2">
      <c r="A181" s="51">
        <v>0.56944444444444398</v>
      </c>
      <c r="B181" s="16">
        <f>Primarios!A171</f>
        <v>165</v>
      </c>
      <c r="C181" s="1">
        <f>Primarios!B171</f>
        <v>0</v>
      </c>
      <c r="D181" s="18">
        <f>Primarios!M171</f>
        <v>0</v>
      </c>
      <c r="E181" s="18">
        <f>Primarios!N171</f>
        <v>0</v>
      </c>
      <c r="F181" s="18">
        <f>Primarios!O171</f>
        <v>0</v>
      </c>
      <c r="G181" s="18">
        <f>Primarios!P171</f>
        <v>0</v>
      </c>
      <c r="H181" s="18">
        <f>Primarios!Q171</f>
        <v>0</v>
      </c>
      <c r="I181" s="18">
        <f>Primarios!R171</f>
        <v>0</v>
      </c>
      <c r="J181" s="18">
        <f>Primarios!S171</f>
        <v>0</v>
      </c>
      <c r="K181" s="18">
        <f>Primarios!T171</f>
        <v>0</v>
      </c>
      <c r="L181" s="18">
        <f>Primarios!U171</f>
        <v>0</v>
      </c>
    </row>
    <row r="182" spans="1:12" x14ac:dyDescent="0.2">
      <c r="A182" s="53">
        <v>0.57291666666666696</v>
      </c>
      <c r="B182" s="16">
        <f>Primarios!A172</f>
        <v>166</v>
      </c>
      <c r="C182" s="1">
        <f>Primarios!B172</f>
        <v>0</v>
      </c>
      <c r="D182" s="18">
        <f>Primarios!M172</f>
        <v>0</v>
      </c>
      <c r="E182" s="18">
        <f>Primarios!N172</f>
        <v>0</v>
      </c>
      <c r="F182" s="18">
        <f>Primarios!O172</f>
        <v>0</v>
      </c>
      <c r="G182" s="18">
        <f>Primarios!P172</f>
        <v>0</v>
      </c>
      <c r="H182" s="18">
        <f>Primarios!Q172</f>
        <v>0</v>
      </c>
      <c r="I182" s="18">
        <f>Primarios!R172</f>
        <v>0</v>
      </c>
      <c r="J182" s="18">
        <f>Primarios!S172</f>
        <v>0</v>
      </c>
      <c r="K182" s="18">
        <f>Primarios!T172</f>
        <v>0</v>
      </c>
      <c r="L182" s="18">
        <f>Primarios!U172</f>
        <v>0</v>
      </c>
    </row>
    <row r="183" spans="1:12" x14ac:dyDescent="0.2">
      <c r="A183" s="51">
        <v>0.57638888888888895</v>
      </c>
      <c r="B183" s="16">
        <f>Primarios!A173</f>
        <v>167</v>
      </c>
      <c r="C183" s="1">
        <f>Primarios!B173</f>
        <v>0</v>
      </c>
      <c r="D183" s="18">
        <f>Primarios!M173</f>
        <v>0</v>
      </c>
      <c r="E183" s="18">
        <f>Primarios!N173</f>
        <v>0</v>
      </c>
      <c r="F183" s="18">
        <f>Primarios!O173</f>
        <v>0</v>
      </c>
      <c r="G183" s="18">
        <f>Primarios!P173</f>
        <v>0</v>
      </c>
      <c r="H183" s="18">
        <f>Primarios!Q173</f>
        <v>0</v>
      </c>
      <c r="I183" s="18">
        <f>Primarios!R173</f>
        <v>0</v>
      </c>
      <c r="J183" s="18">
        <f>Primarios!S173</f>
        <v>0</v>
      </c>
      <c r="K183" s="18">
        <f>Primarios!T173</f>
        <v>0</v>
      </c>
      <c r="L183" s="18">
        <f>Primarios!U173</f>
        <v>0</v>
      </c>
    </row>
    <row r="184" spans="1:12" x14ac:dyDescent="0.2">
      <c r="A184" s="53">
        <v>0.57986111111111105</v>
      </c>
      <c r="B184" s="16">
        <f>Primarios!A174</f>
        <v>168</v>
      </c>
      <c r="C184" s="1">
        <f>Primarios!B174</f>
        <v>0</v>
      </c>
      <c r="D184" s="18">
        <f>Primarios!M174</f>
        <v>0</v>
      </c>
      <c r="E184" s="18">
        <f>Primarios!N174</f>
        <v>0</v>
      </c>
      <c r="F184" s="18">
        <f>Primarios!O174</f>
        <v>0</v>
      </c>
      <c r="G184" s="18">
        <f>Primarios!P174</f>
        <v>0</v>
      </c>
      <c r="H184" s="18">
        <f>Primarios!Q174</f>
        <v>0</v>
      </c>
      <c r="I184" s="18">
        <f>Primarios!R174</f>
        <v>0</v>
      </c>
      <c r="J184" s="18">
        <f>Primarios!S174</f>
        <v>0</v>
      </c>
      <c r="K184" s="18">
        <f>Primarios!T174</f>
        <v>0</v>
      </c>
      <c r="L184" s="18">
        <f>Primarios!U174</f>
        <v>0</v>
      </c>
    </row>
    <row r="185" spans="1:12" x14ac:dyDescent="0.2">
      <c r="A185" s="51">
        <v>0.58333333333333304</v>
      </c>
      <c r="B185" s="16">
        <f>Primarios!A175</f>
        <v>169</v>
      </c>
      <c r="C185" s="1">
        <f>Primarios!B175</f>
        <v>0</v>
      </c>
      <c r="D185" s="18">
        <f>Primarios!M175</f>
        <v>0</v>
      </c>
      <c r="E185" s="18">
        <f>Primarios!N175</f>
        <v>0</v>
      </c>
      <c r="F185" s="18">
        <f>Primarios!O175</f>
        <v>0</v>
      </c>
      <c r="G185" s="18">
        <f>Primarios!P175</f>
        <v>0</v>
      </c>
      <c r="H185" s="18">
        <f>Primarios!Q175</f>
        <v>0</v>
      </c>
      <c r="I185" s="18">
        <f>Primarios!R175</f>
        <v>0</v>
      </c>
      <c r="J185" s="18">
        <f>Primarios!S175</f>
        <v>0</v>
      </c>
      <c r="K185" s="18">
        <f>Primarios!T175</f>
        <v>0</v>
      </c>
      <c r="L185" s="18">
        <f>Primarios!U175</f>
        <v>0</v>
      </c>
    </row>
    <row r="186" spans="1:12" x14ac:dyDescent="0.2">
      <c r="A186" s="53">
        <v>0.58680555555555503</v>
      </c>
      <c r="B186" s="16">
        <f>Primarios!A176</f>
        <v>170</v>
      </c>
      <c r="C186" s="1">
        <f>Primarios!B176</f>
        <v>0</v>
      </c>
      <c r="D186" s="18">
        <f>Primarios!M176</f>
        <v>0</v>
      </c>
      <c r="E186" s="18">
        <f>Primarios!N176</f>
        <v>0</v>
      </c>
      <c r="F186" s="18">
        <f>Primarios!O176</f>
        <v>0</v>
      </c>
      <c r="G186" s="18">
        <f>Primarios!P176</f>
        <v>0</v>
      </c>
      <c r="H186" s="18">
        <f>Primarios!Q176</f>
        <v>0</v>
      </c>
      <c r="I186" s="18">
        <f>Primarios!R176</f>
        <v>0</v>
      </c>
      <c r="J186" s="18">
        <f>Primarios!S176</f>
        <v>0</v>
      </c>
      <c r="K186" s="18">
        <f>Primarios!T176</f>
        <v>0</v>
      </c>
      <c r="L186" s="18">
        <f>Primarios!U176</f>
        <v>0</v>
      </c>
    </row>
    <row r="187" spans="1:12" x14ac:dyDescent="0.2">
      <c r="A187" s="51">
        <v>0.59027777777777801</v>
      </c>
      <c r="B187" s="16">
        <f>Primarios!A177</f>
        <v>171</v>
      </c>
      <c r="C187" s="1">
        <f>Primarios!B177</f>
        <v>0</v>
      </c>
      <c r="D187" s="18">
        <f>Primarios!M177</f>
        <v>0</v>
      </c>
      <c r="E187" s="18">
        <f>Primarios!N177</f>
        <v>0</v>
      </c>
      <c r="F187" s="18">
        <f>Primarios!O177</f>
        <v>0</v>
      </c>
      <c r="G187" s="18">
        <f>Primarios!P177</f>
        <v>0</v>
      </c>
      <c r="H187" s="18">
        <f>Primarios!Q177</f>
        <v>0</v>
      </c>
      <c r="I187" s="18">
        <f>Primarios!R177</f>
        <v>0</v>
      </c>
      <c r="J187" s="18">
        <f>Primarios!S177</f>
        <v>0</v>
      </c>
      <c r="K187" s="18">
        <f>Primarios!T177</f>
        <v>0</v>
      </c>
      <c r="L187" s="18">
        <f>Primarios!U177</f>
        <v>0</v>
      </c>
    </row>
    <row r="188" spans="1:12" x14ac:dyDescent="0.2">
      <c r="A188" s="53">
        <v>0.59375</v>
      </c>
      <c r="B188" s="16">
        <f>Primarios!A178</f>
        <v>172</v>
      </c>
      <c r="C188" s="1">
        <f>Primarios!B178</f>
        <v>0</v>
      </c>
      <c r="D188" s="18">
        <f>Primarios!M178</f>
        <v>0</v>
      </c>
      <c r="E188" s="18">
        <f>Primarios!N178</f>
        <v>0</v>
      </c>
      <c r="F188" s="18">
        <f>Primarios!O178</f>
        <v>0</v>
      </c>
      <c r="G188" s="18">
        <f>Primarios!P178</f>
        <v>0</v>
      </c>
      <c r="H188" s="18">
        <f>Primarios!Q178</f>
        <v>0</v>
      </c>
      <c r="I188" s="18">
        <f>Primarios!R178</f>
        <v>0</v>
      </c>
      <c r="J188" s="18">
        <f>Primarios!S178</f>
        <v>0</v>
      </c>
      <c r="K188" s="18">
        <f>Primarios!T178</f>
        <v>0</v>
      </c>
      <c r="L188" s="18">
        <f>Primarios!U178</f>
        <v>0</v>
      </c>
    </row>
    <row r="189" spans="1:12" x14ac:dyDescent="0.2">
      <c r="A189" s="51">
        <v>0.59722222222222199</v>
      </c>
      <c r="B189" s="16">
        <f>Primarios!A179</f>
        <v>173</v>
      </c>
      <c r="C189" s="1">
        <f>Primarios!B179</f>
        <v>0</v>
      </c>
      <c r="D189" s="18">
        <f>Primarios!M179</f>
        <v>0</v>
      </c>
      <c r="E189" s="18">
        <f>Primarios!N179</f>
        <v>0</v>
      </c>
      <c r="F189" s="18">
        <f>Primarios!O179</f>
        <v>0</v>
      </c>
      <c r="G189" s="18">
        <f>Primarios!P179</f>
        <v>0</v>
      </c>
      <c r="H189" s="18">
        <f>Primarios!Q179</f>
        <v>0</v>
      </c>
      <c r="I189" s="18">
        <f>Primarios!R179</f>
        <v>0</v>
      </c>
      <c r="J189" s="18">
        <f>Primarios!S179</f>
        <v>0</v>
      </c>
      <c r="K189" s="18">
        <f>Primarios!T179</f>
        <v>0</v>
      </c>
      <c r="L189" s="18">
        <f>Primarios!U179</f>
        <v>0</v>
      </c>
    </row>
    <row r="190" spans="1:12" x14ac:dyDescent="0.2">
      <c r="A190" s="53">
        <v>0.60069444444444398</v>
      </c>
      <c r="B190" s="16">
        <f>Primarios!A180</f>
        <v>174</v>
      </c>
      <c r="C190" s="1">
        <f>Primarios!B180</f>
        <v>0</v>
      </c>
      <c r="D190" s="18">
        <f>Primarios!M180</f>
        <v>0</v>
      </c>
      <c r="E190" s="18">
        <f>Primarios!N180</f>
        <v>0</v>
      </c>
      <c r="F190" s="18">
        <f>Primarios!O180</f>
        <v>0</v>
      </c>
      <c r="G190" s="18">
        <f>Primarios!P180</f>
        <v>0</v>
      </c>
      <c r="H190" s="18">
        <f>Primarios!Q180</f>
        <v>0</v>
      </c>
      <c r="I190" s="18">
        <f>Primarios!R180</f>
        <v>0</v>
      </c>
      <c r="J190" s="18">
        <f>Primarios!S180</f>
        <v>0</v>
      </c>
      <c r="K190" s="18">
        <f>Primarios!T180</f>
        <v>0</v>
      </c>
      <c r="L190" s="18">
        <f>Primarios!U180</f>
        <v>0</v>
      </c>
    </row>
    <row r="191" spans="1:12" x14ac:dyDescent="0.2">
      <c r="A191" s="51">
        <v>0.60416666666666696</v>
      </c>
      <c r="B191" s="16">
        <f>Primarios!A181</f>
        <v>175</v>
      </c>
      <c r="C191" s="1">
        <f>Primarios!B181</f>
        <v>0</v>
      </c>
      <c r="D191" s="18">
        <f>Primarios!M181</f>
        <v>0</v>
      </c>
      <c r="E191" s="18">
        <f>Primarios!N181</f>
        <v>0</v>
      </c>
      <c r="F191" s="18">
        <f>Primarios!O181</f>
        <v>0</v>
      </c>
      <c r="G191" s="18">
        <f>Primarios!P181</f>
        <v>0</v>
      </c>
      <c r="H191" s="18">
        <f>Primarios!Q181</f>
        <v>0</v>
      </c>
      <c r="I191" s="18">
        <f>Primarios!R181</f>
        <v>0</v>
      </c>
      <c r="J191" s="18">
        <f>Primarios!S181</f>
        <v>0</v>
      </c>
      <c r="K191" s="18">
        <f>Primarios!T181</f>
        <v>0</v>
      </c>
      <c r="L191" s="18">
        <f>Primarios!U181</f>
        <v>0</v>
      </c>
    </row>
    <row r="192" spans="1:12" x14ac:dyDescent="0.2">
      <c r="A192" s="53">
        <v>0.60763888888888895</v>
      </c>
      <c r="B192" s="16">
        <f>Primarios!A182</f>
        <v>176</v>
      </c>
      <c r="C192" s="1">
        <f>Primarios!B182</f>
        <v>0</v>
      </c>
      <c r="D192" s="18">
        <f>Primarios!M182</f>
        <v>0</v>
      </c>
      <c r="E192" s="18">
        <f>Primarios!N182</f>
        <v>0</v>
      </c>
      <c r="F192" s="18">
        <f>Primarios!O182</f>
        <v>0</v>
      </c>
      <c r="G192" s="18">
        <f>Primarios!P182</f>
        <v>0</v>
      </c>
      <c r="H192" s="18">
        <f>Primarios!Q182</f>
        <v>0</v>
      </c>
      <c r="I192" s="18">
        <f>Primarios!R182</f>
        <v>0</v>
      </c>
      <c r="J192" s="18">
        <f>Primarios!S182</f>
        <v>0</v>
      </c>
      <c r="K192" s="18">
        <f>Primarios!T182</f>
        <v>0</v>
      </c>
      <c r="L192" s="18">
        <f>Primarios!U182</f>
        <v>0</v>
      </c>
    </row>
    <row r="193" spans="1:12" x14ac:dyDescent="0.2">
      <c r="A193" s="51">
        <v>0.61111111111111105</v>
      </c>
      <c r="B193" s="16">
        <f>Primarios!A183</f>
        <v>177</v>
      </c>
      <c r="C193" s="1">
        <f>Primarios!B183</f>
        <v>0</v>
      </c>
      <c r="D193" s="18">
        <f>Primarios!M183</f>
        <v>0</v>
      </c>
      <c r="E193" s="18">
        <f>Primarios!N183</f>
        <v>0</v>
      </c>
      <c r="F193" s="18">
        <f>Primarios!O183</f>
        <v>0</v>
      </c>
      <c r="G193" s="18">
        <f>Primarios!P183</f>
        <v>0</v>
      </c>
      <c r="H193" s="18">
        <f>Primarios!Q183</f>
        <v>0</v>
      </c>
      <c r="I193" s="18">
        <f>Primarios!R183</f>
        <v>0</v>
      </c>
      <c r="J193" s="18">
        <f>Primarios!S183</f>
        <v>0</v>
      </c>
      <c r="K193" s="18">
        <f>Primarios!T183</f>
        <v>0</v>
      </c>
      <c r="L193" s="18">
        <f>Primarios!U183</f>
        <v>0</v>
      </c>
    </row>
    <row r="194" spans="1:12" x14ac:dyDescent="0.2">
      <c r="A194" s="53">
        <v>0.61458333333333304</v>
      </c>
      <c r="B194" s="16">
        <f>Primarios!A184</f>
        <v>178</v>
      </c>
      <c r="C194" s="1">
        <f>Primarios!B184</f>
        <v>0</v>
      </c>
      <c r="D194" s="18">
        <f>Primarios!M184</f>
        <v>0</v>
      </c>
      <c r="E194" s="18">
        <f>Primarios!N184</f>
        <v>0</v>
      </c>
      <c r="F194" s="18">
        <f>Primarios!O184</f>
        <v>0</v>
      </c>
      <c r="G194" s="18">
        <f>Primarios!P184</f>
        <v>0</v>
      </c>
      <c r="H194" s="18">
        <f>Primarios!Q184</f>
        <v>0</v>
      </c>
      <c r="I194" s="18">
        <f>Primarios!R184</f>
        <v>0</v>
      </c>
      <c r="J194" s="18">
        <f>Primarios!S184</f>
        <v>0</v>
      </c>
      <c r="K194" s="18">
        <f>Primarios!T184</f>
        <v>0</v>
      </c>
      <c r="L194" s="18">
        <f>Primarios!U184</f>
        <v>0</v>
      </c>
    </row>
    <row r="195" spans="1:12" x14ac:dyDescent="0.2">
      <c r="A195" s="51">
        <v>0.61805555555555503</v>
      </c>
      <c r="B195" s="16">
        <f>Primarios!A185</f>
        <v>179</v>
      </c>
      <c r="C195" s="1">
        <f>Primarios!B185</f>
        <v>0</v>
      </c>
      <c r="D195" s="18">
        <f>Primarios!M185</f>
        <v>0</v>
      </c>
      <c r="E195" s="18">
        <f>Primarios!N185</f>
        <v>0</v>
      </c>
      <c r="F195" s="18">
        <f>Primarios!O185</f>
        <v>0</v>
      </c>
      <c r="G195" s="18">
        <f>Primarios!P185</f>
        <v>0</v>
      </c>
      <c r="H195" s="18">
        <f>Primarios!Q185</f>
        <v>0</v>
      </c>
      <c r="I195" s="18">
        <f>Primarios!R185</f>
        <v>0</v>
      </c>
      <c r="J195" s="18">
        <f>Primarios!S185</f>
        <v>0</v>
      </c>
      <c r="K195" s="18">
        <f>Primarios!T185</f>
        <v>0</v>
      </c>
      <c r="L195" s="18">
        <f>Primarios!U185</f>
        <v>0</v>
      </c>
    </row>
    <row r="196" spans="1:12" x14ac:dyDescent="0.2">
      <c r="A196" s="53">
        <v>0.62152777777777801</v>
      </c>
      <c r="B196" s="16">
        <f>Primarios!A186</f>
        <v>180</v>
      </c>
      <c r="C196" s="1">
        <f>Primarios!B186</f>
        <v>0</v>
      </c>
      <c r="D196" s="18">
        <f>Primarios!M186</f>
        <v>0</v>
      </c>
      <c r="E196" s="18">
        <f>Primarios!N186</f>
        <v>0</v>
      </c>
      <c r="F196" s="18">
        <f>Primarios!O186</f>
        <v>0</v>
      </c>
      <c r="G196" s="18">
        <f>Primarios!P186</f>
        <v>0</v>
      </c>
      <c r="H196" s="18">
        <f>Primarios!Q186</f>
        <v>0</v>
      </c>
      <c r="I196" s="18">
        <f>Primarios!R186</f>
        <v>0</v>
      </c>
      <c r="J196" s="18">
        <f>Primarios!S186</f>
        <v>0</v>
      </c>
      <c r="K196" s="18">
        <f>Primarios!T186</f>
        <v>0</v>
      </c>
      <c r="L196" s="18">
        <f>Primarios!U186</f>
        <v>0</v>
      </c>
    </row>
    <row r="197" spans="1:12" x14ac:dyDescent="0.2">
      <c r="A197" s="51">
        <v>0.625</v>
      </c>
      <c r="B197" s="16">
        <f>Primarios!A187</f>
        <v>181</v>
      </c>
      <c r="C197" s="1">
        <f>Primarios!B187</f>
        <v>0</v>
      </c>
      <c r="D197" s="18">
        <f>Primarios!M187</f>
        <v>0</v>
      </c>
      <c r="E197" s="18">
        <f>Primarios!N187</f>
        <v>0</v>
      </c>
      <c r="F197" s="18">
        <f>Primarios!O187</f>
        <v>0</v>
      </c>
      <c r="G197" s="18">
        <f>Primarios!P187</f>
        <v>0</v>
      </c>
      <c r="H197" s="18">
        <f>Primarios!Q187</f>
        <v>0</v>
      </c>
      <c r="I197" s="18">
        <f>Primarios!R187</f>
        <v>0</v>
      </c>
      <c r="J197" s="18">
        <f>Primarios!S187</f>
        <v>0</v>
      </c>
      <c r="K197" s="18">
        <f>Primarios!T187</f>
        <v>0</v>
      </c>
      <c r="L197" s="18">
        <f>Primarios!U187</f>
        <v>0</v>
      </c>
    </row>
    <row r="198" spans="1:12" x14ac:dyDescent="0.2">
      <c r="A198" s="53">
        <v>0.62847222222222199</v>
      </c>
      <c r="B198" s="16">
        <f>Primarios!A188</f>
        <v>182</v>
      </c>
      <c r="C198" s="1">
        <f>Primarios!B188</f>
        <v>0</v>
      </c>
      <c r="D198" s="18">
        <f>Primarios!M188</f>
        <v>0</v>
      </c>
      <c r="E198" s="18">
        <f>Primarios!N188</f>
        <v>0</v>
      </c>
      <c r="F198" s="18">
        <f>Primarios!O188</f>
        <v>0</v>
      </c>
      <c r="G198" s="18">
        <f>Primarios!P188</f>
        <v>0</v>
      </c>
      <c r="H198" s="18">
        <f>Primarios!Q188</f>
        <v>0</v>
      </c>
      <c r="I198" s="18">
        <f>Primarios!R188</f>
        <v>0</v>
      </c>
      <c r="J198" s="18">
        <f>Primarios!S188</f>
        <v>0</v>
      </c>
      <c r="K198" s="18">
        <f>Primarios!T188</f>
        <v>0</v>
      </c>
      <c r="L198" s="18">
        <f>Primarios!U188</f>
        <v>0</v>
      </c>
    </row>
    <row r="199" spans="1:12" x14ac:dyDescent="0.2">
      <c r="A199" s="51">
        <v>0.63194444444444398</v>
      </c>
      <c r="B199" s="16">
        <f>Primarios!A189</f>
        <v>183</v>
      </c>
      <c r="C199" s="1">
        <f>Primarios!B189</f>
        <v>0</v>
      </c>
      <c r="D199" s="18">
        <f>Primarios!M189</f>
        <v>0</v>
      </c>
      <c r="E199" s="18">
        <f>Primarios!N189</f>
        <v>0</v>
      </c>
      <c r="F199" s="18">
        <f>Primarios!O189</f>
        <v>0</v>
      </c>
      <c r="G199" s="18">
        <f>Primarios!P189</f>
        <v>0</v>
      </c>
      <c r="H199" s="18">
        <f>Primarios!Q189</f>
        <v>0</v>
      </c>
      <c r="I199" s="18">
        <f>Primarios!R189</f>
        <v>0</v>
      </c>
      <c r="J199" s="18">
        <f>Primarios!S189</f>
        <v>0</v>
      </c>
      <c r="K199" s="18">
        <f>Primarios!T189</f>
        <v>0</v>
      </c>
      <c r="L199" s="18">
        <f>Primarios!U189</f>
        <v>0</v>
      </c>
    </row>
    <row r="200" spans="1:12" x14ac:dyDescent="0.2">
      <c r="A200" s="53">
        <v>0.63541666666666696</v>
      </c>
      <c r="B200" s="16">
        <f>Primarios!A190</f>
        <v>184</v>
      </c>
      <c r="C200" s="1">
        <f>Primarios!B190</f>
        <v>0</v>
      </c>
      <c r="D200" s="18">
        <f>Primarios!M190</f>
        <v>0</v>
      </c>
      <c r="E200" s="18">
        <f>Primarios!N190</f>
        <v>0</v>
      </c>
      <c r="F200" s="18">
        <f>Primarios!O190</f>
        <v>0</v>
      </c>
      <c r="G200" s="18">
        <f>Primarios!P190</f>
        <v>0</v>
      </c>
      <c r="H200" s="18">
        <f>Primarios!Q190</f>
        <v>0</v>
      </c>
      <c r="I200" s="18">
        <f>Primarios!R190</f>
        <v>0</v>
      </c>
      <c r="J200" s="18">
        <f>Primarios!S190</f>
        <v>0</v>
      </c>
      <c r="K200" s="18">
        <f>Primarios!T190</f>
        <v>0</v>
      </c>
      <c r="L200" s="18">
        <f>Primarios!U190</f>
        <v>0</v>
      </c>
    </row>
    <row r="201" spans="1:12" x14ac:dyDescent="0.2">
      <c r="A201" s="51">
        <v>0.63888888888888895</v>
      </c>
      <c r="B201" s="16">
        <f>Primarios!A191</f>
        <v>185</v>
      </c>
      <c r="C201" s="1">
        <f>Primarios!B191</f>
        <v>0</v>
      </c>
      <c r="D201" s="18">
        <f>Primarios!M191</f>
        <v>0</v>
      </c>
      <c r="E201" s="18">
        <f>Primarios!N191</f>
        <v>0</v>
      </c>
      <c r="F201" s="18">
        <f>Primarios!O191</f>
        <v>0</v>
      </c>
      <c r="G201" s="18">
        <f>Primarios!P191</f>
        <v>0</v>
      </c>
      <c r="H201" s="18">
        <f>Primarios!Q191</f>
        <v>0</v>
      </c>
      <c r="I201" s="18">
        <f>Primarios!R191</f>
        <v>0</v>
      </c>
      <c r="J201" s="18">
        <f>Primarios!S191</f>
        <v>0</v>
      </c>
      <c r="K201" s="18">
        <f>Primarios!T191</f>
        <v>0</v>
      </c>
      <c r="L201" s="18">
        <f>Primarios!U191</f>
        <v>0</v>
      </c>
    </row>
    <row r="202" spans="1:12" x14ac:dyDescent="0.2">
      <c r="A202" s="53">
        <v>0.64236111111111105</v>
      </c>
      <c r="B202" s="16">
        <f>Primarios!A192</f>
        <v>186</v>
      </c>
      <c r="C202" s="1">
        <f>Primarios!B192</f>
        <v>0</v>
      </c>
      <c r="D202" s="18">
        <f>Primarios!M192</f>
        <v>0</v>
      </c>
      <c r="E202" s="18">
        <f>Primarios!N192</f>
        <v>0</v>
      </c>
      <c r="F202" s="18">
        <f>Primarios!O192</f>
        <v>0</v>
      </c>
      <c r="G202" s="18">
        <f>Primarios!P192</f>
        <v>0</v>
      </c>
      <c r="H202" s="18">
        <f>Primarios!Q192</f>
        <v>0</v>
      </c>
      <c r="I202" s="18">
        <f>Primarios!R192</f>
        <v>0</v>
      </c>
      <c r="J202" s="18">
        <f>Primarios!S192</f>
        <v>0</v>
      </c>
      <c r="K202" s="18">
        <f>Primarios!T192</f>
        <v>0</v>
      </c>
      <c r="L202" s="18">
        <f>Primarios!U192</f>
        <v>0</v>
      </c>
    </row>
    <row r="203" spans="1:12" x14ac:dyDescent="0.2">
      <c r="A203" s="51">
        <v>0.64583333333333304</v>
      </c>
      <c r="B203" s="16">
        <f>Primarios!A193</f>
        <v>187</v>
      </c>
      <c r="C203" s="1">
        <f>Primarios!B193</f>
        <v>0</v>
      </c>
      <c r="D203" s="18">
        <f>Primarios!M193</f>
        <v>0</v>
      </c>
      <c r="E203" s="18">
        <f>Primarios!N193</f>
        <v>0</v>
      </c>
      <c r="F203" s="18">
        <f>Primarios!O193</f>
        <v>0</v>
      </c>
      <c r="G203" s="18">
        <f>Primarios!P193</f>
        <v>0</v>
      </c>
      <c r="H203" s="18">
        <f>Primarios!Q193</f>
        <v>0</v>
      </c>
      <c r="I203" s="18">
        <f>Primarios!R193</f>
        <v>0</v>
      </c>
      <c r="J203" s="18">
        <f>Primarios!S193</f>
        <v>0</v>
      </c>
      <c r="K203" s="18">
        <f>Primarios!T193</f>
        <v>0</v>
      </c>
      <c r="L203" s="18">
        <f>Primarios!U193</f>
        <v>0</v>
      </c>
    </row>
    <row r="204" spans="1:12" x14ac:dyDescent="0.2">
      <c r="A204" s="53">
        <v>0.64930555555555503</v>
      </c>
      <c r="B204" s="16">
        <f>Primarios!A194</f>
        <v>188</v>
      </c>
      <c r="C204" s="1">
        <f>Primarios!B194</f>
        <v>0</v>
      </c>
      <c r="D204" s="18">
        <f>Primarios!M194</f>
        <v>0</v>
      </c>
      <c r="E204" s="18">
        <f>Primarios!N194</f>
        <v>0</v>
      </c>
      <c r="F204" s="18">
        <f>Primarios!O194</f>
        <v>0</v>
      </c>
      <c r="G204" s="18">
        <f>Primarios!P194</f>
        <v>0</v>
      </c>
      <c r="H204" s="18">
        <f>Primarios!Q194</f>
        <v>0</v>
      </c>
      <c r="I204" s="18">
        <f>Primarios!R194</f>
        <v>0</v>
      </c>
      <c r="J204" s="18">
        <f>Primarios!S194</f>
        <v>0</v>
      </c>
      <c r="K204" s="18">
        <f>Primarios!T194</f>
        <v>0</v>
      </c>
      <c r="L204" s="18">
        <f>Primarios!U194</f>
        <v>0</v>
      </c>
    </row>
    <row r="205" spans="1:12" x14ac:dyDescent="0.2">
      <c r="A205" s="51">
        <v>0.65277777777777801</v>
      </c>
      <c r="B205" s="16">
        <f>Primarios!A195</f>
        <v>189</v>
      </c>
      <c r="C205" s="1">
        <f>Primarios!B195</f>
        <v>0</v>
      </c>
      <c r="D205" s="18">
        <f>Primarios!M195</f>
        <v>0</v>
      </c>
      <c r="E205" s="18">
        <f>Primarios!N195</f>
        <v>0</v>
      </c>
      <c r="F205" s="18">
        <f>Primarios!O195</f>
        <v>0</v>
      </c>
      <c r="G205" s="18">
        <f>Primarios!P195</f>
        <v>0</v>
      </c>
      <c r="H205" s="18">
        <f>Primarios!Q195</f>
        <v>0</v>
      </c>
      <c r="I205" s="18">
        <f>Primarios!R195</f>
        <v>0</v>
      </c>
      <c r="J205" s="18">
        <f>Primarios!S195</f>
        <v>0</v>
      </c>
      <c r="K205" s="18">
        <f>Primarios!T195</f>
        <v>0</v>
      </c>
      <c r="L205" s="18">
        <f>Primarios!U195</f>
        <v>0</v>
      </c>
    </row>
    <row r="206" spans="1:12" x14ac:dyDescent="0.2">
      <c r="A206" s="53">
        <v>0.65625</v>
      </c>
      <c r="B206" s="16">
        <f>Primarios!A196</f>
        <v>190</v>
      </c>
      <c r="C206" s="1">
        <f>Primarios!B196</f>
        <v>0</v>
      </c>
      <c r="D206" s="18">
        <f>Primarios!M196</f>
        <v>0</v>
      </c>
      <c r="E206" s="18">
        <f>Primarios!N196</f>
        <v>0</v>
      </c>
      <c r="F206" s="18">
        <f>Primarios!O196</f>
        <v>0</v>
      </c>
      <c r="G206" s="18">
        <f>Primarios!P196</f>
        <v>0</v>
      </c>
      <c r="H206" s="18">
        <f>Primarios!Q196</f>
        <v>0</v>
      </c>
      <c r="I206" s="18">
        <f>Primarios!R196</f>
        <v>0</v>
      </c>
      <c r="J206" s="18">
        <f>Primarios!S196</f>
        <v>0</v>
      </c>
      <c r="K206" s="18">
        <f>Primarios!T196</f>
        <v>0</v>
      </c>
      <c r="L206" s="18">
        <f>Primarios!U196</f>
        <v>0</v>
      </c>
    </row>
    <row r="207" spans="1:12" x14ac:dyDescent="0.2">
      <c r="A207" s="51">
        <v>0.65972222222222199</v>
      </c>
      <c r="B207" s="16">
        <f>Primarios!A197</f>
        <v>191</v>
      </c>
      <c r="C207" s="1">
        <f>Primarios!B197</f>
        <v>0</v>
      </c>
      <c r="D207" s="18">
        <f>Primarios!M197</f>
        <v>0</v>
      </c>
      <c r="E207" s="18">
        <f>Primarios!N197</f>
        <v>0</v>
      </c>
      <c r="F207" s="18">
        <f>Primarios!O197</f>
        <v>0</v>
      </c>
      <c r="G207" s="18">
        <f>Primarios!P197</f>
        <v>0</v>
      </c>
      <c r="H207" s="18">
        <f>Primarios!Q197</f>
        <v>0</v>
      </c>
      <c r="I207" s="18">
        <f>Primarios!R197</f>
        <v>0</v>
      </c>
      <c r="J207" s="18">
        <f>Primarios!S197</f>
        <v>0</v>
      </c>
      <c r="K207" s="18">
        <f>Primarios!T197</f>
        <v>0</v>
      </c>
      <c r="L207" s="18">
        <f>Primarios!U197</f>
        <v>0</v>
      </c>
    </row>
    <row r="208" spans="1:12" x14ac:dyDescent="0.2">
      <c r="A208" s="53">
        <v>0.66319444444444398</v>
      </c>
      <c r="B208" s="16">
        <f>Primarios!A198</f>
        <v>192</v>
      </c>
      <c r="C208" s="1">
        <f>Primarios!B198</f>
        <v>0</v>
      </c>
      <c r="D208" s="18">
        <f>Primarios!M198</f>
        <v>0</v>
      </c>
      <c r="E208" s="18">
        <f>Primarios!N198</f>
        <v>0</v>
      </c>
      <c r="F208" s="18">
        <f>Primarios!O198</f>
        <v>0</v>
      </c>
      <c r="G208" s="18">
        <f>Primarios!P198</f>
        <v>0</v>
      </c>
      <c r="H208" s="18">
        <f>Primarios!Q198</f>
        <v>0</v>
      </c>
      <c r="I208" s="18">
        <f>Primarios!R198</f>
        <v>0</v>
      </c>
      <c r="J208" s="18">
        <f>Primarios!S198</f>
        <v>0</v>
      </c>
      <c r="K208" s="18">
        <f>Primarios!T198</f>
        <v>0</v>
      </c>
      <c r="L208" s="18">
        <f>Primarios!U198</f>
        <v>0</v>
      </c>
    </row>
    <row r="209" spans="1:12" x14ac:dyDescent="0.2">
      <c r="A209" s="51">
        <v>0.66666666666666696</v>
      </c>
      <c r="B209" s="16">
        <f>Primarios!A199</f>
        <v>193</v>
      </c>
      <c r="C209" s="1">
        <f>Primarios!B199</f>
        <v>0</v>
      </c>
      <c r="D209" s="18">
        <f>Primarios!M199</f>
        <v>0</v>
      </c>
      <c r="E209" s="18">
        <f>Primarios!N199</f>
        <v>0</v>
      </c>
      <c r="F209" s="18">
        <f>Primarios!O199</f>
        <v>0</v>
      </c>
      <c r="G209" s="18">
        <f>Primarios!P199</f>
        <v>0</v>
      </c>
      <c r="H209" s="18">
        <f>Primarios!Q199</f>
        <v>0</v>
      </c>
      <c r="I209" s="18">
        <f>Primarios!R199</f>
        <v>0</v>
      </c>
      <c r="J209" s="18">
        <f>Primarios!S199</f>
        <v>0</v>
      </c>
      <c r="K209" s="18">
        <f>Primarios!T199</f>
        <v>0</v>
      </c>
      <c r="L209" s="18">
        <f>Primarios!U199</f>
        <v>0</v>
      </c>
    </row>
    <row r="210" spans="1:12" x14ac:dyDescent="0.2">
      <c r="A210" s="53">
        <v>0.67013888888888895</v>
      </c>
      <c r="B210" s="16">
        <f>Primarios!A200</f>
        <v>194</v>
      </c>
      <c r="C210" s="1">
        <f>Primarios!B200</f>
        <v>0</v>
      </c>
      <c r="D210" s="18">
        <f>Primarios!M200</f>
        <v>0</v>
      </c>
      <c r="E210" s="18">
        <f>Primarios!N200</f>
        <v>0</v>
      </c>
      <c r="F210" s="18">
        <f>Primarios!O200</f>
        <v>0</v>
      </c>
      <c r="G210" s="18">
        <f>Primarios!P200</f>
        <v>0</v>
      </c>
      <c r="H210" s="18">
        <f>Primarios!Q200</f>
        <v>0</v>
      </c>
      <c r="I210" s="18">
        <f>Primarios!R200</f>
        <v>0</v>
      </c>
      <c r="J210" s="18">
        <f>Primarios!S200</f>
        <v>0</v>
      </c>
      <c r="K210" s="18">
        <f>Primarios!T200</f>
        <v>0</v>
      </c>
      <c r="L210" s="18">
        <f>Primarios!U200</f>
        <v>0</v>
      </c>
    </row>
    <row r="211" spans="1:12" x14ac:dyDescent="0.2">
      <c r="A211" s="51">
        <v>0.67361111111111105</v>
      </c>
      <c r="B211" s="16">
        <f>Primarios!A201</f>
        <v>195</v>
      </c>
      <c r="C211" s="1">
        <f>Primarios!B201</f>
        <v>0</v>
      </c>
      <c r="D211" s="18">
        <f>Primarios!M201</f>
        <v>0</v>
      </c>
      <c r="E211" s="18">
        <f>Primarios!N201</f>
        <v>0</v>
      </c>
      <c r="F211" s="18">
        <f>Primarios!O201</f>
        <v>0</v>
      </c>
      <c r="G211" s="18">
        <f>Primarios!P201</f>
        <v>0</v>
      </c>
      <c r="H211" s="18">
        <f>Primarios!Q201</f>
        <v>0</v>
      </c>
      <c r="I211" s="18">
        <f>Primarios!R201</f>
        <v>0</v>
      </c>
      <c r="J211" s="18">
        <f>Primarios!S201</f>
        <v>0</v>
      </c>
      <c r="K211" s="18">
        <f>Primarios!T201</f>
        <v>0</v>
      </c>
      <c r="L211" s="18">
        <f>Primarios!U201</f>
        <v>0</v>
      </c>
    </row>
    <row r="212" spans="1:12" x14ac:dyDescent="0.2">
      <c r="A212" s="53">
        <v>0.67708333333333304</v>
      </c>
      <c r="B212" s="16">
        <f>Primarios!A202</f>
        <v>196</v>
      </c>
      <c r="C212" s="1">
        <f>Primarios!B202</f>
        <v>0</v>
      </c>
      <c r="D212" s="18">
        <f>Primarios!M202</f>
        <v>0</v>
      </c>
      <c r="E212" s="18">
        <f>Primarios!N202</f>
        <v>0</v>
      </c>
      <c r="F212" s="18">
        <f>Primarios!O202</f>
        <v>0</v>
      </c>
      <c r="G212" s="18">
        <f>Primarios!P202</f>
        <v>0</v>
      </c>
      <c r="H212" s="18">
        <f>Primarios!Q202</f>
        <v>0</v>
      </c>
      <c r="I212" s="18">
        <f>Primarios!R202</f>
        <v>0</v>
      </c>
      <c r="J212" s="18">
        <f>Primarios!S202</f>
        <v>0</v>
      </c>
      <c r="K212" s="18">
        <f>Primarios!T202</f>
        <v>0</v>
      </c>
      <c r="L212" s="18">
        <f>Primarios!U202</f>
        <v>0</v>
      </c>
    </row>
    <row r="213" spans="1:12" x14ac:dyDescent="0.2">
      <c r="A213" s="51">
        <v>0.68055555555555503</v>
      </c>
      <c r="B213" s="16">
        <f>Primarios!A203</f>
        <v>197</v>
      </c>
      <c r="C213" s="1">
        <f>Primarios!B203</f>
        <v>0</v>
      </c>
      <c r="D213" s="18">
        <f>Primarios!M203</f>
        <v>0</v>
      </c>
      <c r="E213" s="18">
        <f>Primarios!N203</f>
        <v>0</v>
      </c>
      <c r="F213" s="18">
        <f>Primarios!O203</f>
        <v>0</v>
      </c>
      <c r="G213" s="18">
        <f>Primarios!P203</f>
        <v>0</v>
      </c>
      <c r="H213" s="18">
        <f>Primarios!Q203</f>
        <v>0</v>
      </c>
      <c r="I213" s="18">
        <f>Primarios!R203</f>
        <v>0</v>
      </c>
      <c r="J213" s="18">
        <f>Primarios!S203</f>
        <v>0</v>
      </c>
      <c r="K213" s="18">
        <f>Primarios!T203</f>
        <v>0</v>
      </c>
      <c r="L213" s="18">
        <f>Primarios!U203</f>
        <v>0</v>
      </c>
    </row>
    <row r="214" spans="1:12" x14ac:dyDescent="0.2">
      <c r="A214" s="53">
        <v>0.68402777777777801</v>
      </c>
      <c r="B214" s="16">
        <f>Primarios!A204</f>
        <v>198</v>
      </c>
      <c r="C214" s="1">
        <f>Primarios!B204</f>
        <v>0</v>
      </c>
      <c r="D214" s="18">
        <f>Primarios!M204</f>
        <v>0</v>
      </c>
      <c r="E214" s="18">
        <f>Primarios!N204</f>
        <v>0</v>
      </c>
      <c r="F214" s="18">
        <f>Primarios!O204</f>
        <v>0</v>
      </c>
      <c r="G214" s="18">
        <f>Primarios!P204</f>
        <v>0</v>
      </c>
      <c r="H214" s="18">
        <f>Primarios!Q204</f>
        <v>0</v>
      </c>
      <c r="I214" s="18">
        <f>Primarios!R204</f>
        <v>0</v>
      </c>
      <c r="J214" s="18">
        <f>Primarios!S204</f>
        <v>0</v>
      </c>
      <c r="K214" s="18">
        <f>Primarios!T204</f>
        <v>0</v>
      </c>
      <c r="L214" s="18">
        <f>Primarios!U204</f>
        <v>0</v>
      </c>
    </row>
    <row r="215" spans="1:12" x14ac:dyDescent="0.2">
      <c r="A215" s="51">
        <v>0.6875</v>
      </c>
      <c r="B215" s="16">
        <f>Primarios!A205</f>
        <v>199</v>
      </c>
      <c r="C215" s="1">
        <f>Primarios!B205</f>
        <v>0</v>
      </c>
      <c r="D215" s="18">
        <f>Primarios!M205</f>
        <v>0</v>
      </c>
      <c r="E215" s="18">
        <f>Primarios!N205</f>
        <v>0</v>
      </c>
      <c r="F215" s="18">
        <f>Primarios!O205</f>
        <v>0</v>
      </c>
      <c r="G215" s="18">
        <f>Primarios!P205</f>
        <v>0</v>
      </c>
      <c r="H215" s="18">
        <f>Primarios!Q205</f>
        <v>0</v>
      </c>
      <c r="I215" s="18">
        <f>Primarios!R205</f>
        <v>0</v>
      </c>
      <c r="J215" s="18">
        <f>Primarios!S205</f>
        <v>0</v>
      </c>
      <c r="K215" s="18">
        <f>Primarios!T205</f>
        <v>0</v>
      </c>
      <c r="L215" s="18">
        <f>Primarios!U205</f>
        <v>0</v>
      </c>
    </row>
    <row r="216" spans="1:12" x14ac:dyDescent="0.2">
      <c r="A216" s="53">
        <v>0.69097222222222199</v>
      </c>
      <c r="B216" s="16">
        <f>Primarios!A206</f>
        <v>200</v>
      </c>
      <c r="C216" s="1">
        <f>Primarios!B206</f>
        <v>0</v>
      </c>
      <c r="D216" s="18">
        <f>Primarios!M206</f>
        <v>0</v>
      </c>
      <c r="E216" s="18">
        <f>Primarios!N206</f>
        <v>0</v>
      </c>
      <c r="F216" s="18">
        <f>Primarios!O206</f>
        <v>0</v>
      </c>
      <c r="G216" s="18">
        <f>Primarios!P206</f>
        <v>0</v>
      </c>
      <c r="H216" s="18">
        <f>Primarios!Q206</f>
        <v>0</v>
      </c>
      <c r="I216" s="18">
        <f>Primarios!R206</f>
        <v>0</v>
      </c>
      <c r="J216" s="18">
        <f>Primarios!S206</f>
        <v>0</v>
      </c>
      <c r="K216" s="18">
        <f>Primarios!T206</f>
        <v>0</v>
      </c>
      <c r="L216" s="18">
        <f>Primarios!U206</f>
        <v>0</v>
      </c>
    </row>
    <row r="217" spans="1:12" x14ac:dyDescent="0.2">
      <c r="A217" s="51">
        <v>0.69444444444444398</v>
      </c>
      <c r="B217" s="16">
        <f>Primarios!A207</f>
        <v>201</v>
      </c>
      <c r="C217" s="1">
        <f>Primarios!B207</f>
        <v>0</v>
      </c>
      <c r="D217" s="18">
        <f>Primarios!M207</f>
        <v>0</v>
      </c>
      <c r="E217" s="18">
        <f>Primarios!N207</f>
        <v>0</v>
      </c>
      <c r="F217" s="18">
        <f>Primarios!O207</f>
        <v>0</v>
      </c>
      <c r="G217" s="18">
        <f>Primarios!P207</f>
        <v>0</v>
      </c>
      <c r="H217" s="18">
        <f>Primarios!Q207</f>
        <v>0</v>
      </c>
      <c r="I217" s="18">
        <f>Primarios!R207</f>
        <v>0</v>
      </c>
      <c r="J217" s="18">
        <f>Primarios!S207</f>
        <v>0</v>
      </c>
      <c r="K217" s="18">
        <f>Primarios!T207</f>
        <v>0</v>
      </c>
      <c r="L217" s="18">
        <f>Primarios!U207</f>
        <v>0</v>
      </c>
    </row>
    <row r="218" spans="1:12" x14ac:dyDescent="0.2">
      <c r="A218" s="53">
        <v>0.69791666666666696</v>
      </c>
      <c r="B218" s="16">
        <f>Primarios!A208</f>
        <v>202</v>
      </c>
      <c r="C218" s="1">
        <f>Primarios!B208</f>
        <v>0</v>
      </c>
      <c r="D218" s="18">
        <f>Primarios!M208</f>
        <v>0</v>
      </c>
      <c r="E218" s="18">
        <f>Primarios!N208</f>
        <v>0</v>
      </c>
      <c r="F218" s="18">
        <f>Primarios!O208</f>
        <v>0</v>
      </c>
      <c r="G218" s="18">
        <f>Primarios!P208</f>
        <v>0</v>
      </c>
      <c r="H218" s="18">
        <f>Primarios!Q208</f>
        <v>0</v>
      </c>
      <c r="I218" s="18">
        <f>Primarios!R208</f>
        <v>0</v>
      </c>
      <c r="J218" s="18">
        <f>Primarios!S208</f>
        <v>0</v>
      </c>
      <c r="K218" s="18">
        <f>Primarios!T208</f>
        <v>0</v>
      </c>
      <c r="L218" s="18">
        <f>Primarios!U208</f>
        <v>0</v>
      </c>
    </row>
    <row r="219" spans="1:12" x14ac:dyDescent="0.2">
      <c r="A219" s="51">
        <v>0.70138888888888895</v>
      </c>
      <c r="B219" s="16">
        <f>Primarios!A209</f>
        <v>203</v>
      </c>
      <c r="C219" s="1">
        <f>Primarios!B209</f>
        <v>0</v>
      </c>
      <c r="D219" s="18">
        <f>Primarios!M209</f>
        <v>0</v>
      </c>
      <c r="E219" s="18">
        <f>Primarios!N209</f>
        <v>0</v>
      </c>
      <c r="F219" s="18">
        <f>Primarios!O209</f>
        <v>0</v>
      </c>
      <c r="G219" s="18">
        <f>Primarios!P209</f>
        <v>0</v>
      </c>
      <c r="H219" s="18">
        <f>Primarios!Q209</f>
        <v>0</v>
      </c>
      <c r="I219" s="18">
        <f>Primarios!R209</f>
        <v>0</v>
      </c>
      <c r="J219" s="18">
        <f>Primarios!S209</f>
        <v>0</v>
      </c>
      <c r="K219" s="18">
        <f>Primarios!T209</f>
        <v>0</v>
      </c>
      <c r="L219" s="18">
        <f>Primarios!U209</f>
        <v>0</v>
      </c>
    </row>
    <row r="220" spans="1:12" x14ac:dyDescent="0.2">
      <c r="A220" s="53">
        <v>0.70486111111111105</v>
      </c>
      <c r="B220" s="16">
        <f>Primarios!A210</f>
        <v>204</v>
      </c>
      <c r="C220" s="1">
        <f>Primarios!B210</f>
        <v>0</v>
      </c>
      <c r="D220" s="18">
        <f>Primarios!M210</f>
        <v>0</v>
      </c>
      <c r="E220" s="18">
        <f>Primarios!N210</f>
        <v>0</v>
      </c>
      <c r="F220" s="18">
        <f>Primarios!O210</f>
        <v>0</v>
      </c>
      <c r="G220" s="18">
        <f>Primarios!P210</f>
        <v>0</v>
      </c>
      <c r="H220" s="18">
        <f>Primarios!Q210</f>
        <v>0</v>
      </c>
      <c r="I220" s="18">
        <f>Primarios!R210</f>
        <v>0</v>
      </c>
      <c r="J220" s="18">
        <f>Primarios!S210</f>
        <v>0</v>
      </c>
      <c r="K220" s="18">
        <f>Primarios!T210</f>
        <v>0</v>
      </c>
      <c r="L220" s="18">
        <f>Primarios!U210</f>
        <v>0</v>
      </c>
    </row>
    <row r="221" spans="1:12" x14ac:dyDescent="0.2">
      <c r="A221" s="51">
        <v>0.70833333333333304</v>
      </c>
      <c r="B221" s="16">
        <f>Primarios!A211</f>
        <v>205</v>
      </c>
      <c r="C221" s="1">
        <f>Primarios!B211</f>
        <v>0</v>
      </c>
      <c r="D221" s="18">
        <f>Primarios!M211</f>
        <v>0</v>
      </c>
      <c r="E221" s="18">
        <f>Primarios!N211</f>
        <v>0</v>
      </c>
      <c r="F221" s="18">
        <f>Primarios!O211</f>
        <v>0</v>
      </c>
      <c r="G221" s="18">
        <f>Primarios!P211</f>
        <v>0</v>
      </c>
      <c r="H221" s="18">
        <f>Primarios!Q211</f>
        <v>0</v>
      </c>
      <c r="I221" s="18">
        <f>Primarios!R211</f>
        <v>0</v>
      </c>
      <c r="J221" s="18">
        <f>Primarios!S211</f>
        <v>0</v>
      </c>
      <c r="K221" s="18">
        <f>Primarios!T211</f>
        <v>0</v>
      </c>
      <c r="L221" s="18">
        <f>Primarios!U211</f>
        <v>0</v>
      </c>
    </row>
    <row r="222" spans="1:12" x14ac:dyDescent="0.2">
      <c r="A222" s="53">
        <v>0.71180555555555503</v>
      </c>
      <c r="B222" s="16">
        <f>Primarios!A212</f>
        <v>206</v>
      </c>
      <c r="C222" s="1">
        <f>Primarios!B212</f>
        <v>0</v>
      </c>
      <c r="D222" s="18">
        <f>Primarios!M212</f>
        <v>0</v>
      </c>
      <c r="E222" s="18">
        <f>Primarios!N212</f>
        <v>0</v>
      </c>
      <c r="F222" s="18">
        <f>Primarios!O212</f>
        <v>0</v>
      </c>
      <c r="G222" s="18">
        <f>Primarios!P212</f>
        <v>0</v>
      </c>
      <c r="H222" s="18">
        <f>Primarios!Q212</f>
        <v>0</v>
      </c>
      <c r="I222" s="18">
        <f>Primarios!R212</f>
        <v>0</v>
      </c>
      <c r="J222" s="18">
        <f>Primarios!S212</f>
        <v>0</v>
      </c>
      <c r="K222" s="18">
        <f>Primarios!T212</f>
        <v>0</v>
      </c>
      <c r="L222" s="18">
        <f>Primarios!U212</f>
        <v>0</v>
      </c>
    </row>
    <row r="223" spans="1:12" x14ac:dyDescent="0.2">
      <c r="A223" s="51">
        <v>0.71527777777777801</v>
      </c>
      <c r="B223" s="16">
        <f>Primarios!A213</f>
        <v>207</v>
      </c>
      <c r="C223" s="1">
        <f>Primarios!B213</f>
        <v>0</v>
      </c>
      <c r="D223" s="18">
        <f>Primarios!M213</f>
        <v>0</v>
      </c>
      <c r="E223" s="18">
        <f>Primarios!N213</f>
        <v>0</v>
      </c>
      <c r="F223" s="18">
        <f>Primarios!O213</f>
        <v>0</v>
      </c>
      <c r="G223" s="18">
        <f>Primarios!P213</f>
        <v>0</v>
      </c>
      <c r="H223" s="18">
        <f>Primarios!Q213</f>
        <v>0</v>
      </c>
      <c r="I223" s="18">
        <f>Primarios!R213</f>
        <v>0</v>
      </c>
      <c r="J223" s="18">
        <f>Primarios!S213</f>
        <v>0</v>
      </c>
      <c r="K223" s="18">
        <f>Primarios!T213</f>
        <v>0</v>
      </c>
      <c r="L223" s="18">
        <f>Primarios!U213</f>
        <v>0</v>
      </c>
    </row>
    <row r="224" spans="1:12" x14ac:dyDescent="0.2">
      <c r="A224" s="53">
        <v>0.71875</v>
      </c>
      <c r="B224" s="16">
        <f>Primarios!A214</f>
        <v>208</v>
      </c>
      <c r="C224" s="1">
        <f>Primarios!B214</f>
        <v>0</v>
      </c>
      <c r="D224" s="18">
        <f>Primarios!M214</f>
        <v>0</v>
      </c>
      <c r="E224" s="18">
        <f>Primarios!N214</f>
        <v>0</v>
      </c>
      <c r="F224" s="18">
        <f>Primarios!O214</f>
        <v>0</v>
      </c>
      <c r="G224" s="18">
        <f>Primarios!P214</f>
        <v>0</v>
      </c>
      <c r="H224" s="18">
        <f>Primarios!Q214</f>
        <v>0</v>
      </c>
      <c r="I224" s="18">
        <f>Primarios!R214</f>
        <v>0</v>
      </c>
      <c r="J224" s="18">
        <f>Primarios!S214</f>
        <v>0</v>
      </c>
      <c r="K224" s="18">
        <f>Primarios!T214</f>
        <v>0</v>
      </c>
      <c r="L224" s="18">
        <f>Primarios!U214</f>
        <v>0</v>
      </c>
    </row>
    <row r="225" spans="1:12" x14ac:dyDescent="0.2">
      <c r="A225" s="51">
        <v>0.72222222222222199</v>
      </c>
      <c r="B225" s="16">
        <f>Primarios!A215</f>
        <v>209</v>
      </c>
      <c r="C225" s="1">
        <f>Primarios!B215</f>
        <v>0</v>
      </c>
      <c r="D225" s="18">
        <f>Primarios!M215</f>
        <v>0</v>
      </c>
      <c r="E225" s="18">
        <f>Primarios!N215</f>
        <v>0</v>
      </c>
      <c r="F225" s="18">
        <f>Primarios!O215</f>
        <v>0</v>
      </c>
      <c r="G225" s="18">
        <f>Primarios!P215</f>
        <v>0</v>
      </c>
      <c r="H225" s="18">
        <f>Primarios!Q215</f>
        <v>0</v>
      </c>
      <c r="I225" s="18">
        <f>Primarios!R215</f>
        <v>0</v>
      </c>
      <c r="J225" s="18">
        <f>Primarios!S215</f>
        <v>0</v>
      </c>
      <c r="K225" s="18">
        <f>Primarios!T215</f>
        <v>0</v>
      </c>
      <c r="L225" s="18">
        <f>Primarios!U215</f>
        <v>0</v>
      </c>
    </row>
    <row r="226" spans="1:12" x14ac:dyDescent="0.2">
      <c r="A226" s="53">
        <v>0.72569444444444398</v>
      </c>
      <c r="B226" s="16">
        <f>Primarios!A216</f>
        <v>210</v>
      </c>
      <c r="C226" s="1">
        <f>Primarios!B216</f>
        <v>0</v>
      </c>
      <c r="D226" s="18">
        <f>Primarios!M216</f>
        <v>0</v>
      </c>
      <c r="E226" s="18">
        <f>Primarios!N216</f>
        <v>0</v>
      </c>
      <c r="F226" s="18">
        <f>Primarios!O216</f>
        <v>0</v>
      </c>
      <c r="G226" s="18">
        <f>Primarios!P216</f>
        <v>0</v>
      </c>
      <c r="H226" s="18">
        <f>Primarios!Q216</f>
        <v>0</v>
      </c>
      <c r="I226" s="18">
        <f>Primarios!R216</f>
        <v>0</v>
      </c>
      <c r="J226" s="18">
        <f>Primarios!S216</f>
        <v>0</v>
      </c>
      <c r="K226" s="18">
        <f>Primarios!T216</f>
        <v>0</v>
      </c>
      <c r="L226" s="18">
        <f>Primarios!U216</f>
        <v>0</v>
      </c>
    </row>
    <row r="227" spans="1:12" x14ac:dyDescent="0.2">
      <c r="A227" s="51">
        <v>0.72916666666666696</v>
      </c>
      <c r="B227" s="16">
        <f>Primarios!A217</f>
        <v>211</v>
      </c>
      <c r="C227" s="1">
        <f>Primarios!B217</f>
        <v>0</v>
      </c>
      <c r="D227" s="18">
        <f>Primarios!M217</f>
        <v>0</v>
      </c>
      <c r="E227" s="18">
        <f>Primarios!N217</f>
        <v>0</v>
      </c>
      <c r="F227" s="18">
        <f>Primarios!O217</f>
        <v>0</v>
      </c>
      <c r="G227" s="18">
        <f>Primarios!P217</f>
        <v>0</v>
      </c>
      <c r="H227" s="18">
        <f>Primarios!Q217</f>
        <v>0</v>
      </c>
      <c r="I227" s="18">
        <f>Primarios!R217</f>
        <v>0</v>
      </c>
      <c r="J227" s="18">
        <f>Primarios!S217</f>
        <v>0</v>
      </c>
      <c r="K227" s="18">
        <f>Primarios!T217</f>
        <v>0</v>
      </c>
      <c r="L227" s="18">
        <f>Primarios!U217</f>
        <v>0</v>
      </c>
    </row>
    <row r="228" spans="1:12" x14ac:dyDescent="0.2">
      <c r="A228" s="53">
        <v>0.73263888888888895</v>
      </c>
      <c r="B228" s="16">
        <f>Primarios!A218</f>
        <v>212</v>
      </c>
      <c r="C228" s="1">
        <f>Primarios!B218</f>
        <v>0</v>
      </c>
      <c r="D228" s="18">
        <f>Primarios!M218</f>
        <v>0</v>
      </c>
      <c r="E228" s="18">
        <f>Primarios!N218</f>
        <v>0</v>
      </c>
      <c r="F228" s="18">
        <f>Primarios!O218</f>
        <v>0</v>
      </c>
      <c r="G228" s="18">
        <f>Primarios!P218</f>
        <v>0</v>
      </c>
      <c r="H228" s="18">
        <f>Primarios!Q218</f>
        <v>0</v>
      </c>
      <c r="I228" s="18">
        <f>Primarios!R218</f>
        <v>0</v>
      </c>
      <c r="J228" s="18">
        <f>Primarios!S218</f>
        <v>0</v>
      </c>
      <c r="K228" s="18">
        <f>Primarios!T218</f>
        <v>0</v>
      </c>
      <c r="L228" s="18">
        <f>Primarios!U218</f>
        <v>0</v>
      </c>
    </row>
    <row r="229" spans="1:12" x14ac:dyDescent="0.2">
      <c r="A229" s="51">
        <v>0.73611111111111105</v>
      </c>
      <c r="B229" s="16">
        <f>Primarios!A219</f>
        <v>213</v>
      </c>
      <c r="C229" s="1">
        <f>Primarios!B219</f>
        <v>0</v>
      </c>
      <c r="D229" s="18">
        <f>Primarios!M219</f>
        <v>0</v>
      </c>
      <c r="E229" s="18">
        <f>Primarios!N219</f>
        <v>0</v>
      </c>
      <c r="F229" s="18">
        <f>Primarios!O219</f>
        <v>0</v>
      </c>
      <c r="G229" s="18">
        <f>Primarios!P219</f>
        <v>0</v>
      </c>
      <c r="H229" s="18">
        <f>Primarios!Q219</f>
        <v>0</v>
      </c>
      <c r="I229" s="18">
        <f>Primarios!R219</f>
        <v>0</v>
      </c>
      <c r="J229" s="18">
        <f>Primarios!S219</f>
        <v>0</v>
      </c>
      <c r="K229" s="18">
        <f>Primarios!T219</f>
        <v>0</v>
      </c>
      <c r="L229" s="18">
        <f>Primarios!U219</f>
        <v>0</v>
      </c>
    </row>
    <row r="230" spans="1:12" x14ac:dyDescent="0.2">
      <c r="A230" s="53">
        <v>0.73958333333333304</v>
      </c>
      <c r="B230" s="16">
        <f>Primarios!A220</f>
        <v>214</v>
      </c>
      <c r="C230" s="1">
        <f>Primarios!B220</f>
        <v>0</v>
      </c>
      <c r="D230" s="18">
        <f>Primarios!M220</f>
        <v>0</v>
      </c>
      <c r="E230" s="18">
        <f>Primarios!N220</f>
        <v>0</v>
      </c>
      <c r="F230" s="18">
        <f>Primarios!O220</f>
        <v>0</v>
      </c>
      <c r="G230" s="18">
        <f>Primarios!P220</f>
        <v>0</v>
      </c>
      <c r="H230" s="18">
        <f>Primarios!Q220</f>
        <v>0</v>
      </c>
      <c r="I230" s="18">
        <f>Primarios!R220</f>
        <v>0</v>
      </c>
      <c r="J230" s="18">
        <f>Primarios!S220</f>
        <v>0</v>
      </c>
      <c r="K230" s="18">
        <f>Primarios!T220</f>
        <v>0</v>
      </c>
      <c r="L230" s="18">
        <f>Primarios!U220</f>
        <v>0</v>
      </c>
    </row>
    <row r="231" spans="1:12" x14ac:dyDescent="0.2">
      <c r="A231" s="51">
        <v>0.74305555555555503</v>
      </c>
      <c r="B231" s="16">
        <f>Primarios!A221</f>
        <v>215</v>
      </c>
      <c r="C231" s="1">
        <f>Primarios!B221</f>
        <v>0</v>
      </c>
      <c r="D231" s="18">
        <f>Primarios!M221</f>
        <v>0</v>
      </c>
      <c r="E231" s="18">
        <f>Primarios!N221</f>
        <v>0</v>
      </c>
      <c r="F231" s="18">
        <f>Primarios!O221</f>
        <v>0</v>
      </c>
      <c r="G231" s="18">
        <f>Primarios!P221</f>
        <v>0</v>
      </c>
      <c r="H231" s="18">
        <f>Primarios!Q221</f>
        <v>0</v>
      </c>
      <c r="I231" s="18">
        <f>Primarios!R221</f>
        <v>0</v>
      </c>
      <c r="J231" s="18">
        <f>Primarios!S221</f>
        <v>0</v>
      </c>
      <c r="K231" s="18">
        <f>Primarios!T221</f>
        <v>0</v>
      </c>
      <c r="L231" s="18">
        <f>Primarios!U221</f>
        <v>0</v>
      </c>
    </row>
    <row r="232" spans="1:12" x14ac:dyDescent="0.2">
      <c r="A232" s="53">
        <v>0.74652777777777801</v>
      </c>
      <c r="B232" s="16">
        <f>Primarios!A222</f>
        <v>216</v>
      </c>
      <c r="C232" s="1">
        <f>Primarios!B222</f>
        <v>0</v>
      </c>
      <c r="D232" s="18">
        <f>Primarios!M222</f>
        <v>0</v>
      </c>
      <c r="E232" s="18">
        <f>Primarios!N222</f>
        <v>0</v>
      </c>
      <c r="F232" s="18">
        <f>Primarios!O222</f>
        <v>0</v>
      </c>
      <c r="G232" s="18">
        <f>Primarios!P222</f>
        <v>0</v>
      </c>
      <c r="H232" s="18">
        <f>Primarios!Q222</f>
        <v>0</v>
      </c>
      <c r="I232" s="18">
        <f>Primarios!R222</f>
        <v>0</v>
      </c>
      <c r="J232" s="18">
        <f>Primarios!S222</f>
        <v>0</v>
      </c>
      <c r="K232" s="18">
        <f>Primarios!T222</f>
        <v>0</v>
      </c>
      <c r="L232" s="18">
        <f>Primarios!U222</f>
        <v>0</v>
      </c>
    </row>
    <row r="233" spans="1:12" x14ac:dyDescent="0.2">
      <c r="A233" s="51">
        <v>0.75</v>
      </c>
      <c r="B233" s="16">
        <f>Primarios!A223</f>
        <v>217</v>
      </c>
      <c r="C233" s="1">
        <f>Primarios!B223</f>
        <v>0</v>
      </c>
      <c r="D233" s="18">
        <f>Primarios!M223</f>
        <v>0</v>
      </c>
      <c r="E233" s="18">
        <f>Primarios!N223</f>
        <v>0</v>
      </c>
      <c r="F233" s="18">
        <f>Primarios!O223</f>
        <v>0</v>
      </c>
      <c r="G233" s="18">
        <f>Primarios!P223</f>
        <v>0</v>
      </c>
      <c r="H233" s="18">
        <f>Primarios!Q223</f>
        <v>0</v>
      </c>
      <c r="I233" s="18">
        <f>Primarios!R223</f>
        <v>0</v>
      </c>
      <c r="J233" s="18">
        <f>Primarios!S223</f>
        <v>0</v>
      </c>
      <c r="K233" s="18">
        <f>Primarios!T223</f>
        <v>0</v>
      </c>
      <c r="L233" s="18">
        <f>Primarios!U223</f>
        <v>0</v>
      </c>
    </row>
    <row r="234" spans="1:12" x14ac:dyDescent="0.2">
      <c r="A234" s="53">
        <v>0.75347222222222199</v>
      </c>
      <c r="B234" s="16">
        <f>Primarios!A224</f>
        <v>218</v>
      </c>
      <c r="C234" s="1">
        <f>Primarios!B224</f>
        <v>0</v>
      </c>
      <c r="D234" s="18">
        <f>Primarios!M224</f>
        <v>0</v>
      </c>
      <c r="E234" s="18">
        <f>Primarios!N224</f>
        <v>0</v>
      </c>
      <c r="F234" s="18">
        <f>Primarios!O224</f>
        <v>0</v>
      </c>
      <c r="G234" s="18">
        <f>Primarios!P224</f>
        <v>0</v>
      </c>
      <c r="H234" s="18">
        <f>Primarios!Q224</f>
        <v>0</v>
      </c>
      <c r="I234" s="18">
        <f>Primarios!R224</f>
        <v>0</v>
      </c>
      <c r="J234" s="18">
        <f>Primarios!S224</f>
        <v>0</v>
      </c>
      <c r="K234" s="18">
        <f>Primarios!T224</f>
        <v>0</v>
      </c>
      <c r="L234" s="18">
        <f>Primarios!U224</f>
        <v>0</v>
      </c>
    </row>
    <row r="235" spans="1:12" x14ac:dyDescent="0.2">
      <c r="A235" s="51">
        <v>0.75694444444444398</v>
      </c>
      <c r="B235" s="16">
        <f>Primarios!A225</f>
        <v>219</v>
      </c>
      <c r="C235" s="1">
        <f>Primarios!B225</f>
        <v>0</v>
      </c>
      <c r="D235" s="18">
        <f>Primarios!M225</f>
        <v>0</v>
      </c>
      <c r="E235" s="18">
        <f>Primarios!N225</f>
        <v>0</v>
      </c>
      <c r="F235" s="18">
        <f>Primarios!O225</f>
        <v>0</v>
      </c>
      <c r="G235" s="18">
        <f>Primarios!P225</f>
        <v>0</v>
      </c>
      <c r="H235" s="18">
        <f>Primarios!Q225</f>
        <v>0</v>
      </c>
      <c r="I235" s="18">
        <f>Primarios!R225</f>
        <v>0</v>
      </c>
      <c r="J235" s="18">
        <f>Primarios!S225</f>
        <v>0</v>
      </c>
      <c r="K235" s="18">
        <f>Primarios!T225</f>
        <v>0</v>
      </c>
      <c r="L235" s="18">
        <f>Primarios!U225</f>
        <v>0</v>
      </c>
    </row>
    <row r="236" spans="1:12" x14ac:dyDescent="0.2">
      <c r="A236" s="53">
        <v>0.76041666666666696</v>
      </c>
      <c r="B236" s="16">
        <f>Primarios!A226</f>
        <v>220</v>
      </c>
      <c r="C236" s="1">
        <f>Primarios!B226</f>
        <v>0</v>
      </c>
      <c r="D236" s="18">
        <f>Primarios!M226</f>
        <v>0</v>
      </c>
      <c r="E236" s="18">
        <f>Primarios!N226</f>
        <v>0</v>
      </c>
      <c r="F236" s="18">
        <f>Primarios!O226</f>
        <v>0</v>
      </c>
      <c r="G236" s="18">
        <f>Primarios!P226</f>
        <v>0</v>
      </c>
      <c r="H236" s="18">
        <f>Primarios!Q226</f>
        <v>0</v>
      </c>
      <c r="I236" s="18">
        <f>Primarios!R226</f>
        <v>0</v>
      </c>
      <c r="J236" s="18">
        <f>Primarios!S226</f>
        <v>0</v>
      </c>
      <c r="K236" s="18">
        <f>Primarios!T226</f>
        <v>0</v>
      </c>
      <c r="L236" s="18">
        <f>Primarios!U226</f>
        <v>0</v>
      </c>
    </row>
    <row r="237" spans="1:12" x14ac:dyDescent="0.2">
      <c r="A237" s="51">
        <v>0.76388888888888895</v>
      </c>
      <c r="B237" s="16">
        <f>Primarios!A227</f>
        <v>221</v>
      </c>
      <c r="C237" s="1">
        <f>Primarios!B227</f>
        <v>0</v>
      </c>
      <c r="D237" s="18">
        <f>Primarios!M227</f>
        <v>0</v>
      </c>
      <c r="E237" s="18">
        <f>Primarios!N227</f>
        <v>0</v>
      </c>
      <c r="F237" s="18">
        <f>Primarios!O227</f>
        <v>0</v>
      </c>
      <c r="G237" s="18">
        <f>Primarios!P227</f>
        <v>0</v>
      </c>
      <c r="H237" s="18">
        <f>Primarios!Q227</f>
        <v>0</v>
      </c>
      <c r="I237" s="18">
        <f>Primarios!R227</f>
        <v>0</v>
      </c>
      <c r="J237" s="18">
        <f>Primarios!S227</f>
        <v>0</v>
      </c>
      <c r="K237" s="18">
        <f>Primarios!T227</f>
        <v>0</v>
      </c>
      <c r="L237" s="18">
        <f>Primarios!U227</f>
        <v>0</v>
      </c>
    </row>
    <row r="238" spans="1:12" x14ac:dyDescent="0.2">
      <c r="A238" s="53">
        <v>0.76736111111111105</v>
      </c>
      <c r="B238" s="16">
        <f>Primarios!A228</f>
        <v>222</v>
      </c>
      <c r="C238" s="1">
        <f>Primarios!B228</f>
        <v>0</v>
      </c>
      <c r="D238" s="18">
        <f>Primarios!M228</f>
        <v>0</v>
      </c>
      <c r="E238" s="18">
        <f>Primarios!N228</f>
        <v>0</v>
      </c>
      <c r="F238" s="18">
        <f>Primarios!O228</f>
        <v>0</v>
      </c>
      <c r="G238" s="18">
        <f>Primarios!P228</f>
        <v>0</v>
      </c>
      <c r="H238" s="18">
        <f>Primarios!Q228</f>
        <v>0</v>
      </c>
      <c r="I238" s="18">
        <f>Primarios!R228</f>
        <v>0</v>
      </c>
      <c r="J238" s="18">
        <f>Primarios!S228</f>
        <v>0</v>
      </c>
      <c r="K238" s="18">
        <f>Primarios!T228</f>
        <v>0</v>
      </c>
      <c r="L238" s="18">
        <f>Primarios!U228</f>
        <v>0</v>
      </c>
    </row>
    <row r="239" spans="1:12" x14ac:dyDescent="0.2">
      <c r="A239" s="51">
        <v>0.77083333333333304</v>
      </c>
      <c r="B239" s="16">
        <f>Primarios!A229</f>
        <v>223</v>
      </c>
      <c r="C239" s="1">
        <f>Primarios!B229</f>
        <v>0</v>
      </c>
      <c r="D239" s="18">
        <f>Primarios!M229</f>
        <v>0</v>
      </c>
      <c r="E239" s="18">
        <f>Primarios!N229</f>
        <v>0</v>
      </c>
      <c r="F239" s="18">
        <f>Primarios!O229</f>
        <v>0</v>
      </c>
      <c r="G239" s="18">
        <f>Primarios!P229</f>
        <v>0</v>
      </c>
      <c r="H239" s="18">
        <f>Primarios!Q229</f>
        <v>0</v>
      </c>
      <c r="I239" s="18">
        <f>Primarios!R229</f>
        <v>0</v>
      </c>
      <c r="J239" s="18">
        <f>Primarios!S229</f>
        <v>0</v>
      </c>
      <c r="K239" s="18">
        <f>Primarios!T229</f>
        <v>0</v>
      </c>
      <c r="L239" s="18">
        <f>Primarios!U229</f>
        <v>0</v>
      </c>
    </row>
    <row r="240" spans="1:12" x14ac:dyDescent="0.2">
      <c r="A240" s="53">
        <v>0.77430555555555503</v>
      </c>
      <c r="B240" s="16">
        <f>Primarios!A230</f>
        <v>224</v>
      </c>
      <c r="C240" s="1">
        <f>Primarios!B230</f>
        <v>0</v>
      </c>
      <c r="D240" s="18">
        <f>Primarios!M230</f>
        <v>0</v>
      </c>
      <c r="E240" s="18">
        <f>Primarios!N230</f>
        <v>0</v>
      </c>
      <c r="F240" s="18">
        <f>Primarios!O230</f>
        <v>0</v>
      </c>
      <c r="G240" s="18">
        <f>Primarios!P230</f>
        <v>0</v>
      </c>
      <c r="H240" s="18">
        <f>Primarios!Q230</f>
        <v>0</v>
      </c>
      <c r="I240" s="18">
        <f>Primarios!R230</f>
        <v>0</v>
      </c>
      <c r="J240" s="18">
        <f>Primarios!S230</f>
        <v>0</v>
      </c>
      <c r="K240" s="18">
        <f>Primarios!T230</f>
        <v>0</v>
      </c>
      <c r="L240" s="18">
        <f>Primarios!U230</f>
        <v>0</v>
      </c>
    </row>
    <row r="241" spans="1:12" x14ac:dyDescent="0.2">
      <c r="A241" s="51">
        <v>0.77777777777777801</v>
      </c>
      <c r="B241" s="16">
        <f>Primarios!A231</f>
        <v>225</v>
      </c>
      <c r="C241" s="1">
        <f>Primarios!B231</f>
        <v>0</v>
      </c>
      <c r="D241" s="18">
        <f>Primarios!M231</f>
        <v>0</v>
      </c>
      <c r="E241" s="18">
        <f>Primarios!N231</f>
        <v>0</v>
      </c>
      <c r="F241" s="18">
        <f>Primarios!O231</f>
        <v>0</v>
      </c>
      <c r="G241" s="18">
        <f>Primarios!P231</f>
        <v>0</v>
      </c>
      <c r="H241" s="18">
        <f>Primarios!Q231</f>
        <v>0</v>
      </c>
      <c r="I241" s="18">
        <f>Primarios!R231</f>
        <v>0</v>
      </c>
      <c r="J241" s="18">
        <f>Primarios!S231</f>
        <v>0</v>
      </c>
      <c r="K241" s="18">
        <f>Primarios!T231</f>
        <v>0</v>
      </c>
      <c r="L241" s="18">
        <f>Primarios!U231</f>
        <v>0</v>
      </c>
    </row>
    <row r="242" spans="1:12" x14ac:dyDescent="0.2">
      <c r="A242" s="53">
        <v>0.78125</v>
      </c>
      <c r="B242" s="16">
        <f>Primarios!A232</f>
        <v>226</v>
      </c>
      <c r="C242" s="1">
        <f>Primarios!B232</f>
        <v>0</v>
      </c>
      <c r="D242" s="18">
        <f>Primarios!M232</f>
        <v>0</v>
      </c>
      <c r="E242" s="18">
        <f>Primarios!N232</f>
        <v>0</v>
      </c>
      <c r="F242" s="18">
        <f>Primarios!O232</f>
        <v>0</v>
      </c>
      <c r="G242" s="18">
        <f>Primarios!P232</f>
        <v>0</v>
      </c>
      <c r="H242" s="18">
        <f>Primarios!Q232</f>
        <v>0</v>
      </c>
      <c r="I242" s="18">
        <f>Primarios!R232</f>
        <v>0</v>
      </c>
      <c r="J242" s="18">
        <f>Primarios!S232</f>
        <v>0</v>
      </c>
      <c r="K242" s="18">
        <f>Primarios!T232</f>
        <v>0</v>
      </c>
      <c r="L242" s="18">
        <f>Primarios!U232</f>
        <v>0</v>
      </c>
    </row>
    <row r="243" spans="1:12" x14ac:dyDescent="0.2">
      <c r="A243" s="51">
        <v>0.78472222222222199</v>
      </c>
      <c r="B243" s="16">
        <f>Primarios!A233</f>
        <v>227</v>
      </c>
      <c r="C243" s="1">
        <f>Primarios!B233</f>
        <v>0</v>
      </c>
      <c r="D243" s="18">
        <f>Primarios!M233</f>
        <v>0</v>
      </c>
      <c r="E243" s="18">
        <f>Primarios!N233</f>
        <v>0</v>
      </c>
      <c r="F243" s="18">
        <f>Primarios!O233</f>
        <v>0</v>
      </c>
      <c r="G243" s="18">
        <f>Primarios!P233</f>
        <v>0</v>
      </c>
      <c r="H243" s="18">
        <f>Primarios!Q233</f>
        <v>0</v>
      </c>
      <c r="I243" s="18">
        <f>Primarios!R233</f>
        <v>0</v>
      </c>
      <c r="J243" s="18">
        <f>Primarios!S233</f>
        <v>0</v>
      </c>
      <c r="K243" s="18">
        <f>Primarios!T233</f>
        <v>0</v>
      </c>
      <c r="L243" s="18">
        <f>Primarios!U233</f>
        <v>0</v>
      </c>
    </row>
    <row r="244" spans="1:12" x14ac:dyDescent="0.2">
      <c r="A244" s="53">
        <v>0.78819444444444398</v>
      </c>
      <c r="B244" s="16">
        <f>Primarios!A234</f>
        <v>228</v>
      </c>
      <c r="C244" s="1">
        <f>Primarios!B234</f>
        <v>0</v>
      </c>
      <c r="D244" s="18">
        <f>Primarios!M234</f>
        <v>0</v>
      </c>
      <c r="E244" s="18">
        <f>Primarios!N234</f>
        <v>0</v>
      </c>
      <c r="F244" s="18">
        <f>Primarios!O234</f>
        <v>0</v>
      </c>
      <c r="G244" s="18">
        <f>Primarios!P234</f>
        <v>0</v>
      </c>
      <c r="H244" s="18">
        <f>Primarios!Q234</f>
        <v>0</v>
      </c>
      <c r="I244" s="18">
        <f>Primarios!R234</f>
        <v>0</v>
      </c>
      <c r="J244" s="18">
        <f>Primarios!S234</f>
        <v>0</v>
      </c>
      <c r="K244" s="18">
        <f>Primarios!T234</f>
        <v>0</v>
      </c>
      <c r="L244" s="18">
        <f>Primarios!U234</f>
        <v>0</v>
      </c>
    </row>
    <row r="245" spans="1:12" x14ac:dyDescent="0.2">
      <c r="A245" s="51">
        <v>0.79166666666666696</v>
      </c>
      <c r="B245" s="16">
        <f>Primarios!A235</f>
        <v>229</v>
      </c>
      <c r="C245" s="1">
        <f>Primarios!B235</f>
        <v>0</v>
      </c>
      <c r="D245" s="18">
        <f>Primarios!M235</f>
        <v>0</v>
      </c>
      <c r="E245" s="18">
        <f>Primarios!N235</f>
        <v>0</v>
      </c>
      <c r="F245" s="18">
        <f>Primarios!O235</f>
        <v>0</v>
      </c>
      <c r="G245" s="18">
        <f>Primarios!P235</f>
        <v>0</v>
      </c>
      <c r="H245" s="18">
        <f>Primarios!Q235</f>
        <v>0</v>
      </c>
      <c r="I245" s="18">
        <f>Primarios!R235</f>
        <v>0</v>
      </c>
      <c r="J245" s="18">
        <f>Primarios!S235</f>
        <v>0</v>
      </c>
      <c r="K245" s="18">
        <f>Primarios!T235</f>
        <v>0</v>
      </c>
      <c r="L245" s="18">
        <f>Primarios!U235</f>
        <v>0</v>
      </c>
    </row>
    <row r="246" spans="1:12" x14ac:dyDescent="0.2">
      <c r="A246" s="51">
        <v>0.79513888888888795</v>
      </c>
      <c r="B246" s="16">
        <f>Primarios!A236</f>
        <v>230</v>
      </c>
      <c r="C246" s="1">
        <f>Primarios!B236</f>
        <v>0</v>
      </c>
      <c r="D246" s="18">
        <f>Primarios!M236</f>
        <v>0</v>
      </c>
      <c r="E246" s="18">
        <f>Primarios!N236</f>
        <v>0</v>
      </c>
      <c r="F246" s="18">
        <f>Primarios!O236</f>
        <v>0</v>
      </c>
      <c r="G246" s="18">
        <f>Primarios!P236</f>
        <v>0</v>
      </c>
      <c r="H246" s="18">
        <f>Primarios!Q236</f>
        <v>0</v>
      </c>
      <c r="I246" s="18">
        <f>Primarios!R236</f>
        <v>0</v>
      </c>
      <c r="J246" s="18">
        <f>Primarios!S236</f>
        <v>0</v>
      </c>
      <c r="K246" s="18">
        <f>Primarios!T236</f>
        <v>0</v>
      </c>
      <c r="L246" s="18">
        <f>Primarios!U236</f>
        <v>0</v>
      </c>
    </row>
    <row r="247" spans="1:12" x14ac:dyDescent="0.2">
      <c r="A247" s="53">
        <v>0.79861111111111005</v>
      </c>
      <c r="B247" s="16">
        <f>Primarios!A237</f>
        <v>231</v>
      </c>
      <c r="C247" s="1">
        <f>Primarios!B237</f>
        <v>0</v>
      </c>
      <c r="D247" s="18">
        <f>Primarios!M237</f>
        <v>0</v>
      </c>
      <c r="E247" s="18">
        <f>Primarios!N237</f>
        <v>0</v>
      </c>
      <c r="F247" s="18">
        <f>Primarios!O237</f>
        <v>0</v>
      </c>
      <c r="G247" s="18">
        <f>Primarios!P237</f>
        <v>0</v>
      </c>
      <c r="H247" s="18">
        <f>Primarios!Q237</f>
        <v>0</v>
      </c>
      <c r="I247" s="18">
        <f>Primarios!R237</f>
        <v>0</v>
      </c>
      <c r="J247" s="18">
        <f>Primarios!S237</f>
        <v>0</v>
      </c>
      <c r="K247" s="18">
        <f>Primarios!T237</f>
        <v>0</v>
      </c>
      <c r="L247" s="18">
        <f>Primarios!U237</f>
        <v>0</v>
      </c>
    </row>
    <row r="248" spans="1:12" x14ac:dyDescent="0.2">
      <c r="A248" s="51">
        <v>0.80208333333333204</v>
      </c>
      <c r="B248" s="16">
        <f>Primarios!A238</f>
        <v>232</v>
      </c>
      <c r="C248" s="1">
        <f>Primarios!B238</f>
        <v>0</v>
      </c>
      <c r="D248" s="18">
        <f>Primarios!M238</f>
        <v>0</v>
      </c>
      <c r="E248" s="18">
        <f>Primarios!N238</f>
        <v>0</v>
      </c>
      <c r="F248" s="18">
        <f>Primarios!O238</f>
        <v>0</v>
      </c>
      <c r="G248" s="18">
        <f>Primarios!P238</f>
        <v>0</v>
      </c>
      <c r="H248" s="18">
        <f>Primarios!Q238</f>
        <v>0</v>
      </c>
      <c r="I248" s="18">
        <f>Primarios!R238</f>
        <v>0</v>
      </c>
      <c r="J248" s="18">
        <f>Primarios!S238</f>
        <v>0</v>
      </c>
      <c r="K248" s="18">
        <f>Primarios!T238</f>
        <v>0</v>
      </c>
      <c r="L248" s="18">
        <f>Primarios!U238</f>
        <v>0</v>
      </c>
    </row>
    <row r="249" spans="1:12" x14ac:dyDescent="0.2">
      <c r="A249" s="53">
        <v>0.80555555555555403</v>
      </c>
      <c r="B249" s="16">
        <f>Primarios!A239</f>
        <v>233</v>
      </c>
      <c r="C249" s="1">
        <f>Primarios!B239</f>
        <v>0</v>
      </c>
      <c r="D249" s="18">
        <f>Primarios!M239</f>
        <v>0</v>
      </c>
      <c r="E249" s="18">
        <f>Primarios!N239</f>
        <v>0</v>
      </c>
      <c r="F249" s="18">
        <f>Primarios!O239</f>
        <v>0</v>
      </c>
      <c r="G249" s="18">
        <f>Primarios!P239</f>
        <v>0</v>
      </c>
      <c r="H249" s="18">
        <f>Primarios!Q239</f>
        <v>0</v>
      </c>
      <c r="I249" s="18">
        <f>Primarios!R239</f>
        <v>0</v>
      </c>
      <c r="J249" s="18">
        <f>Primarios!S239</f>
        <v>0</v>
      </c>
      <c r="K249" s="18">
        <f>Primarios!T239</f>
        <v>0</v>
      </c>
      <c r="L249" s="18">
        <f>Primarios!U239</f>
        <v>0</v>
      </c>
    </row>
    <row r="250" spans="1:12" x14ac:dyDescent="0.2">
      <c r="A250" s="51">
        <v>0.80902777777777601</v>
      </c>
      <c r="B250" s="16">
        <f>Primarios!A240</f>
        <v>234</v>
      </c>
      <c r="C250" s="1">
        <f>Primarios!B240</f>
        <v>0</v>
      </c>
      <c r="D250" s="18">
        <f>Primarios!M240</f>
        <v>0</v>
      </c>
      <c r="E250" s="18">
        <f>Primarios!N240</f>
        <v>0</v>
      </c>
      <c r="F250" s="18">
        <f>Primarios!O240</f>
        <v>0</v>
      </c>
      <c r="G250" s="18">
        <f>Primarios!P240</f>
        <v>0</v>
      </c>
      <c r="H250" s="18">
        <f>Primarios!Q240</f>
        <v>0</v>
      </c>
      <c r="I250" s="18">
        <f>Primarios!R240</f>
        <v>0</v>
      </c>
      <c r="J250" s="18">
        <f>Primarios!S240</f>
        <v>0</v>
      </c>
      <c r="K250" s="18">
        <f>Primarios!T240</f>
        <v>0</v>
      </c>
      <c r="L250" s="18">
        <f>Primarios!U240</f>
        <v>0</v>
      </c>
    </row>
    <row r="251" spans="1:12" x14ac:dyDescent="0.2">
      <c r="A251" s="51">
        <v>0.812499999999998</v>
      </c>
      <c r="B251" s="16">
        <f>Primarios!A241</f>
        <v>235</v>
      </c>
      <c r="C251" s="1">
        <f>Primarios!B241</f>
        <v>0</v>
      </c>
      <c r="D251" s="18">
        <f>Primarios!M241</f>
        <v>0</v>
      </c>
      <c r="E251" s="18">
        <f>Primarios!N241</f>
        <v>0</v>
      </c>
      <c r="F251" s="18">
        <f>Primarios!O241</f>
        <v>0</v>
      </c>
      <c r="G251" s="18">
        <f>Primarios!P241</f>
        <v>0</v>
      </c>
      <c r="H251" s="18">
        <f>Primarios!Q241</f>
        <v>0</v>
      </c>
      <c r="I251" s="18">
        <f>Primarios!R241</f>
        <v>0</v>
      </c>
      <c r="J251" s="18">
        <f>Primarios!S241</f>
        <v>0</v>
      </c>
      <c r="K251" s="18">
        <f>Primarios!T241</f>
        <v>0</v>
      </c>
      <c r="L251" s="18">
        <f>Primarios!U241</f>
        <v>0</v>
      </c>
    </row>
    <row r="252" spans="1:12" x14ac:dyDescent="0.2">
      <c r="A252" s="53">
        <v>0.81597222222221999</v>
      </c>
      <c r="B252" s="16">
        <f>Primarios!A242</f>
        <v>236</v>
      </c>
      <c r="C252" s="1">
        <f>Primarios!B242</f>
        <v>0</v>
      </c>
      <c r="D252" s="18">
        <f>Primarios!M242</f>
        <v>0</v>
      </c>
      <c r="E252" s="18">
        <f>Primarios!N242</f>
        <v>0</v>
      </c>
      <c r="F252" s="18">
        <f>Primarios!O242</f>
        <v>0</v>
      </c>
      <c r="G252" s="18">
        <f>Primarios!P242</f>
        <v>0</v>
      </c>
      <c r="H252" s="18">
        <f>Primarios!Q242</f>
        <v>0</v>
      </c>
      <c r="I252" s="18">
        <f>Primarios!R242</f>
        <v>0</v>
      </c>
      <c r="J252" s="18">
        <f>Primarios!S242</f>
        <v>0</v>
      </c>
      <c r="K252" s="18">
        <f>Primarios!T242</f>
        <v>0</v>
      </c>
      <c r="L252" s="18">
        <f>Primarios!U242</f>
        <v>0</v>
      </c>
    </row>
    <row r="253" spans="1:12" x14ac:dyDescent="0.2">
      <c r="A253" s="51">
        <v>0.81944444444444198</v>
      </c>
      <c r="B253" s="16">
        <f>Primarios!A243</f>
        <v>237</v>
      </c>
      <c r="C253" s="1">
        <f>Primarios!B243</f>
        <v>0</v>
      </c>
      <c r="D253" s="18">
        <f>Primarios!M243</f>
        <v>0</v>
      </c>
      <c r="E253" s="18">
        <f>Primarios!N243</f>
        <v>0</v>
      </c>
      <c r="F253" s="18">
        <f>Primarios!O243</f>
        <v>0</v>
      </c>
      <c r="G253" s="18">
        <f>Primarios!P243</f>
        <v>0</v>
      </c>
      <c r="H253" s="18">
        <f>Primarios!Q243</f>
        <v>0</v>
      </c>
      <c r="I253" s="18">
        <f>Primarios!R243</f>
        <v>0</v>
      </c>
      <c r="J253" s="18">
        <f>Primarios!S243</f>
        <v>0</v>
      </c>
      <c r="K253" s="18">
        <f>Primarios!T243</f>
        <v>0</v>
      </c>
      <c r="L253" s="18">
        <f>Primarios!U243</f>
        <v>0</v>
      </c>
    </row>
    <row r="254" spans="1:12" x14ac:dyDescent="0.2">
      <c r="A254" s="53">
        <v>0.82291666666666397</v>
      </c>
      <c r="B254" s="16">
        <f>Primarios!A244</f>
        <v>238</v>
      </c>
      <c r="C254" s="1">
        <f>Primarios!B244</f>
        <v>0</v>
      </c>
      <c r="D254" s="18">
        <f>Primarios!M244</f>
        <v>0</v>
      </c>
      <c r="E254" s="18">
        <f>Primarios!N244</f>
        <v>0</v>
      </c>
      <c r="F254" s="18">
        <f>Primarios!O244</f>
        <v>0</v>
      </c>
      <c r="G254" s="18">
        <f>Primarios!P244</f>
        <v>0</v>
      </c>
      <c r="H254" s="18">
        <f>Primarios!Q244</f>
        <v>0</v>
      </c>
      <c r="I254" s="18">
        <f>Primarios!R244</f>
        <v>0</v>
      </c>
      <c r="J254" s="18">
        <f>Primarios!S244</f>
        <v>0</v>
      </c>
      <c r="K254" s="18">
        <f>Primarios!T244</f>
        <v>0</v>
      </c>
      <c r="L254" s="18">
        <f>Primarios!U244</f>
        <v>0</v>
      </c>
    </row>
    <row r="255" spans="1:12" x14ac:dyDescent="0.2">
      <c r="A255" s="51">
        <v>0.82638888888888595</v>
      </c>
      <c r="B255" s="16">
        <f>Primarios!A245</f>
        <v>239</v>
      </c>
      <c r="C255" s="1">
        <f>Primarios!B245</f>
        <v>0</v>
      </c>
      <c r="D255" s="18">
        <f>Primarios!M245</f>
        <v>0</v>
      </c>
      <c r="E255" s="18">
        <f>Primarios!N245</f>
        <v>0</v>
      </c>
      <c r="F255" s="18">
        <f>Primarios!O245</f>
        <v>0</v>
      </c>
      <c r="G255" s="18">
        <f>Primarios!P245</f>
        <v>0</v>
      </c>
      <c r="H255" s="18">
        <f>Primarios!Q245</f>
        <v>0</v>
      </c>
      <c r="I255" s="18">
        <f>Primarios!R245</f>
        <v>0</v>
      </c>
      <c r="J255" s="18">
        <f>Primarios!S245</f>
        <v>0</v>
      </c>
      <c r="K255" s="18">
        <f>Primarios!T245</f>
        <v>0</v>
      </c>
      <c r="L255" s="18">
        <f>Primarios!U245</f>
        <v>0</v>
      </c>
    </row>
    <row r="256" spans="1:12" x14ac:dyDescent="0.2">
      <c r="A256" s="51">
        <v>0.82986111111110805</v>
      </c>
      <c r="B256" s="16">
        <f>Primarios!A246</f>
        <v>240</v>
      </c>
      <c r="C256" s="1">
        <f>Primarios!B246</f>
        <v>0</v>
      </c>
      <c r="D256" s="18">
        <f>Primarios!M246</f>
        <v>0</v>
      </c>
      <c r="E256" s="18">
        <f>Primarios!N246</f>
        <v>0</v>
      </c>
      <c r="F256" s="18">
        <f>Primarios!O246</f>
        <v>0</v>
      </c>
      <c r="G256" s="18">
        <f>Primarios!P246</f>
        <v>0</v>
      </c>
      <c r="H256" s="18">
        <f>Primarios!Q246</f>
        <v>0</v>
      </c>
      <c r="I256" s="18">
        <f>Primarios!R246</f>
        <v>0</v>
      </c>
      <c r="J256" s="18">
        <f>Primarios!S246</f>
        <v>0</v>
      </c>
      <c r="K256" s="18">
        <f>Primarios!T246</f>
        <v>0</v>
      </c>
      <c r="L256" s="18">
        <f>Primarios!U246</f>
        <v>0</v>
      </c>
    </row>
    <row r="257" spans="1:12" x14ac:dyDescent="0.2">
      <c r="A257" s="51">
        <v>0.83333333333333004</v>
      </c>
      <c r="B257" s="16">
        <f>Primarios!A247</f>
        <v>241</v>
      </c>
      <c r="C257" s="1">
        <f>Primarios!B247</f>
        <v>0</v>
      </c>
      <c r="D257" s="18">
        <f>Primarios!M247</f>
        <v>0</v>
      </c>
      <c r="E257" s="18">
        <f>Primarios!N247</f>
        <v>0</v>
      </c>
      <c r="F257" s="18">
        <f>Primarios!O247</f>
        <v>0</v>
      </c>
      <c r="G257" s="18">
        <f>Primarios!P247</f>
        <v>0</v>
      </c>
      <c r="H257" s="18">
        <f>Primarios!Q247</f>
        <v>0</v>
      </c>
      <c r="I257" s="18">
        <f>Primarios!R247</f>
        <v>0</v>
      </c>
      <c r="J257" s="18">
        <f>Primarios!S247</f>
        <v>0</v>
      </c>
      <c r="K257" s="18">
        <f>Primarios!T247</f>
        <v>0</v>
      </c>
      <c r="L257" s="18">
        <f>Primarios!U247</f>
        <v>0</v>
      </c>
    </row>
    <row r="258" spans="1:12" x14ac:dyDescent="0.2">
      <c r="A258" s="51">
        <v>0.83680555555555203</v>
      </c>
      <c r="B258" s="16">
        <f>Primarios!A248</f>
        <v>242</v>
      </c>
      <c r="C258" s="1">
        <f>Primarios!B248</f>
        <v>0</v>
      </c>
      <c r="D258" s="18">
        <f>Primarios!M248</f>
        <v>0</v>
      </c>
      <c r="E258" s="18">
        <f>Primarios!N248</f>
        <v>0</v>
      </c>
      <c r="F258" s="18">
        <f>Primarios!O248</f>
        <v>0</v>
      </c>
      <c r="G258" s="18">
        <f>Primarios!P248</f>
        <v>0</v>
      </c>
      <c r="H258" s="18">
        <f>Primarios!Q248</f>
        <v>0</v>
      </c>
      <c r="I258" s="18">
        <f>Primarios!R248</f>
        <v>0</v>
      </c>
      <c r="J258" s="18">
        <f>Primarios!S248</f>
        <v>0</v>
      </c>
      <c r="K258" s="18">
        <f>Primarios!T248</f>
        <v>0</v>
      </c>
      <c r="L258" s="18">
        <f>Primarios!U248</f>
        <v>0</v>
      </c>
    </row>
    <row r="259" spans="1:12" x14ac:dyDescent="0.2">
      <c r="A259" s="51">
        <v>0.84027777777777402</v>
      </c>
      <c r="B259" s="16">
        <f>Primarios!A249</f>
        <v>243</v>
      </c>
      <c r="C259" s="1">
        <f>Primarios!B249</f>
        <v>0</v>
      </c>
      <c r="D259" s="18">
        <f>Primarios!M249</f>
        <v>0</v>
      </c>
      <c r="E259" s="18">
        <f>Primarios!N249</f>
        <v>0</v>
      </c>
      <c r="F259" s="18">
        <f>Primarios!O249</f>
        <v>0</v>
      </c>
      <c r="G259" s="18">
        <f>Primarios!P249</f>
        <v>0</v>
      </c>
      <c r="H259" s="18">
        <f>Primarios!Q249</f>
        <v>0</v>
      </c>
      <c r="I259" s="18">
        <f>Primarios!R249</f>
        <v>0</v>
      </c>
      <c r="J259" s="18">
        <f>Primarios!S249</f>
        <v>0</v>
      </c>
      <c r="K259" s="18">
        <f>Primarios!T249</f>
        <v>0</v>
      </c>
      <c r="L259" s="18">
        <f>Primarios!U249</f>
        <v>0</v>
      </c>
    </row>
    <row r="260" spans="1:12" x14ac:dyDescent="0.2">
      <c r="A260" s="51">
        <v>0.843749999999996</v>
      </c>
      <c r="B260" s="16">
        <f>Primarios!A250</f>
        <v>244</v>
      </c>
      <c r="C260" s="1">
        <f>Primarios!B250</f>
        <v>0</v>
      </c>
      <c r="D260" s="18">
        <f>Primarios!M250</f>
        <v>0</v>
      </c>
      <c r="E260" s="18">
        <f>Primarios!N250</f>
        <v>0</v>
      </c>
      <c r="F260" s="18">
        <f>Primarios!O250</f>
        <v>0</v>
      </c>
      <c r="G260" s="18">
        <f>Primarios!P250</f>
        <v>0</v>
      </c>
      <c r="H260" s="18">
        <f>Primarios!Q250</f>
        <v>0</v>
      </c>
      <c r="I260" s="18">
        <f>Primarios!R250</f>
        <v>0</v>
      </c>
      <c r="J260" s="18">
        <f>Primarios!S250</f>
        <v>0</v>
      </c>
      <c r="K260" s="18">
        <f>Primarios!T250</f>
        <v>0</v>
      </c>
      <c r="L260" s="18">
        <f>Primarios!U250</f>
        <v>0</v>
      </c>
    </row>
    <row r="261" spans="1:12" x14ac:dyDescent="0.2">
      <c r="A261" s="51">
        <v>0.84722222222221899</v>
      </c>
      <c r="B261" s="16">
        <f>Primarios!A251</f>
        <v>245</v>
      </c>
      <c r="C261" s="1">
        <f>Primarios!B251</f>
        <v>0</v>
      </c>
      <c r="D261" s="18">
        <f>Primarios!M251</f>
        <v>0</v>
      </c>
      <c r="E261" s="18">
        <f>Primarios!N251</f>
        <v>0</v>
      </c>
      <c r="F261" s="18">
        <f>Primarios!O251</f>
        <v>0</v>
      </c>
      <c r="G261" s="18">
        <f>Primarios!P251</f>
        <v>0</v>
      </c>
      <c r="H261" s="18">
        <f>Primarios!Q251</f>
        <v>0</v>
      </c>
      <c r="I261" s="18">
        <f>Primarios!R251</f>
        <v>0</v>
      </c>
      <c r="J261" s="18">
        <f>Primarios!S251</f>
        <v>0</v>
      </c>
      <c r="K261" s="18">
        <f>Primarios!T251</f>
        <v>0</v>
      </c>
      <c r="L261" s="18">
        <f>Primarios!U251</f>
        <v>0</v>
      </c>
    </row>
    <row r="262" spans="1:12" x14ac:dyDescent="0.2">
      <c r="A262" s="51">
        <v>0.85069444444444098</v>
      </c>
      <c r="B262" s="16">
        <f>Primarios!A252</f>
        <v>246</v>
      </c>
      <c r="C262" s="1">
        <f>Primarios!B252</f>
        <v>0</v>
      </c>
      <c r="D262" s="18">
        <f>Primarios!M252</f>
        <v>0</v>
      </c>
      <c r="E262" s="18">
        <f>Primarios!N252</f>
        <v>0</v>
      </c>
      <c r="F262" s="18">
        <f>Primarios!O252</f>
        <v>0</v>
      </c>
      <c r="G262" s="18">
        <f>Primarios!P252</f>
        <v>0</v>
      </c>
      <c r="H262" s="18">
        <f>Primarios!Q252</f>
        <v>0</v>
      </c>
      <c r="I262" s="18">
        <f>Primarios!R252</f>
        <v>0</v>
      </c>
      <c r="J262" s="18">
        <f>Primarios!S252</f>
        <v>0</v>
      </c>
      <c r="K262" s="18">
        <f>Primarios!T252</f>
        <v>0</v>
      </c>
      <c r="L262" s="18">
        <f>Primarios!U252</f>
        <v>0</v>
      </c>
    </row>
    <row r="263" spans="1:12" x14ac:dyDescent="0.2">
      <c r="A263" s="51">
        <v>0.85416666666666297</v>
      </c>
      <c r="B263" s="16">
        <f>Primarios!A253</f>
        <v>247</v>
      </c>
      <c r="C263" s="1">
        <f>Primarios!B253</f>
        <v>0</v>
      </c>
      <c r="D263" s="18">
        <f>Primarios!M253</f>
        <v>0</v>
      </c>
      <c r="E263" s="18">
        <f>Primarios!N253</f>
        <v>0</v>
      </c>
      <c r="F263" s="18">
        <f>Primarios!O253</f>
        <v>0</v>
      </c>
      <c r="G263" s="18">
        <f>Primarios!P253</f>
        <v>0</v>
      </c>
      <c r="H263" s="18">
        <f>Primarios!Q253</f>
        <v>0</v>
      </c>
      <c r="I263" s="18">
        <f>Primarios!R253</f>
        <v>0</v>
      </c>
      <c r="J263" s="18">
        <f>Primarios!S253</f>
        <v>0</v>
      </c>
      <c r="K263" s="18">
        <f>Primarios!T253</f>
        <v>0</v>
      </c>
      <c r="L263" s="18">
        <f>Primarios!U253</f>
        <v>0</v>
      </c>
    </row>
    <row r="264" spans="1:12" x14ac:dyDescent="0.2">
      <c r="A264" s="51">
        <v>0.85763888888888495</v>
      </c>
      <c r="B264" s="16">
        <f>Primarios!A254</f>
        <v>248</v>
      </c>
      <c r="C264" s="1">
        <f>Primarios!B254</f>
        <v>0</v>
      </c>
      <c r="D264" s="18">
        <f>Primarios!M254</f>
        <v>0</v>
      </c>
      <c r="E264" s="18">
        <f>Primarios!N254</f>
        <v>0</v>
      </c>
      <c r="F264" s="18">
        <f>Primarios!O254</f>
        <v>0</v>
      </c>
      <c r="G264" s="18">
        <f>Primarios!P254</f>
        <v>0</v>
      </c>
      <c r="H264" s="18">
        <f>Primarios!Q254</f>
        <v>0</v>
      </c>
      <c r="I264" s="18">
        <f>Primarios!R254</f>
        <v>0</v>
      </c>
      <c r="J264" s="18">
        <f>Primarios!S254</f>
        <v>0</v>
      </c>
      <c r="K264" s="18">
        <f>Primarios!T254</f>
        <v>0</v>
      </c>
      <c r="L264" s="18">
        <f>Primarios!U254</f>
        <v>0</v>
      </c>
    </row>
    <row r="265" spans="1:12" x14ac:dyDescent="0.2">
      <c r="A265" s="51">
        <v>0.86111111111110705</v>
      </c>
      <c r="B265" s="16">
        <f>Primarios!A255</f>
        <v>249</v>
      </c>
      <c r="C265" s="1">
        <f>Primarios!B255</f>
        <v>0</v>
      </c>
      <c r="D265" s="18">
        <f>Primarios!M255</f>
        <v>0</v>
      </c>
      <c r="E265" s="18">
        <f>Primarios!N255</f>
        <v>0</v>
      </c>
      <c r="F265" s="18">
        <f>Primarios!O255</f>
        <v>0</v>
      </c>
      <c r="G265" s="18">
        <f>Primarios!P255</f>
        <v>0</v>
      </c>
      <c r="H265" s="18">
        <f>Primarios!Q255</f>
        <v>0</v>
      </c>
      <c r="I265" s="18">
        <f>Primarios!R255</f>
        <v>0</v>
      </c>
      <c r="J265" s="18">
        <f>Primarios!S255</f>
        <v>0</v>
      </c>
      <c r="K265" s="18">
        <f>Primarios!T255</f>
        <v>0</v>
      </c>
      <c r="L265" s="18">
        <f>Primarios!U255</f>
        <v>0</v>
      </c>
    </row>
    <row r="266" spans="1:12" x14ac:dyDescent="0.2">
      <c r="A266" s="51">
        <v>0.86458333333332904</v>
      </c>
      <c r="B266" s="16">
        <f>Primarios!A256</f>
        <v>250</v>
      </c>
      <c r="C266" s="1">
        <f>Primarios!B256</f>
        <v>0</v>
      </c>
      <c r="D266" s="18">
        <f>Primarios!M256</f>
        <v>0</v>
      </c>
      <c r="E266" s="18">
        <f>Primarios!N256</f>
        <v>0</v>
      </c>
      <c r="F266" s="18">
        <f>Primarios!O256</f>
        <v>0</v>
      </c>
      <c r="G266" s="18">
        <f>Primarios!P256</f>
        <v>0</v>
      </c>
      <c r="H266" s="18">
        <f>Primarios!Q256</f>
        <v>0</v>
      </c>
      <c r="I266" s="18">
        <f>Primarios!R256</f>
        <v>0</v>
      </c>
      <c r="J266" s="18">
        <f>Primarios!S256</f>
        <v>0</v>
      </c>
      <c r="K266" s="18">
        <f>Primarios!T256</f>
        <v>0</v>
      </c>
      <c r="L266" s="18">
        <f>Primarios!U256</f>
        <v>0</v>
      </c>
    </row>
    <row r="267" spans="1:12" x14ac:dyDescent="0.2">
      <c r="A267" s="51">
        <v>0.86805555555555103</v>
      </c>
      <c r="B267" s="16">
        <f>Primarios!A257</f>
        <v>251</v>
      </c>
      <c r="C267" s="1">
        <f>Primarios!B257</f>
        <v>0</v>
      </c>
      <c r="D267" s="18">
        <f>Primarios!M257</f>
        <v>0</v>
      </c>
      <c r="E267" s="18">
        <f>Primarios!N257</f>
        <v>0</v>
      </c>
      <c r="F267" s="18">
        <f>Primarios!O257</f>
        <v>0</v>
      </c>
      <c r="G267" s="18">
        <f>Primarios!P257</f>
        <v>0</v>
      </c>
      <c r="H267" s="18">
        <f>Primarios!Q257</f>
        <v>0</v>
      </c>
      <c r="I267" s="18">
        <f>Primarios!R257</f>
        <v>0</v>
      </c>
      <c r="J267" s="18">
        <f>Primarios!S257</f>
        <v>0</v>
      </c>
      <c r="K267" s="18">
        <f>Primarios!T257</f>
        <v>0</v>
      </c>
      <c r="L267" s="18">
        <f>Primarios!U257</f>
        <v>0</v>
      </c>
    </row>
    <row r="268" spans="1:12" x14ac:dyDescent="0.2">
      <c r="A268" s="51">
        <v>0.87152777777777302</v>
      </c>
      <c r="B268" s="16">
        <f>Primarios!A258</f>
        <v>252</v>
      </c>
      <c r="C268" s="1">
        <f>Primarios!B258</f>
        <v>0</v>
      </c>
      <c r="D268" s="18">
        <f>Primarios!M258</f>
        <v>0</v>
      </c>
      <c r="E268" s="18">
        <f>Primarios!N258</f>
        <v>0</v>
      </c>
      <c r="F268" s="18">
        <f>Primarios!O258</f>
        <v>0</v>
      </c>
      <c r="G268" s="18">
        <f>Primarios!P258</f>
        <v>0</v>
      </c>
      <c r="H268" s="18">
        <f>Primarios!Q258</f>
        <v>0</v>
      </c>
      <c r="I268" s="18">
        <f>Primarios!R258</f>
        <v>0</v>
      </c>
      <c r="J268" s="18">
        <f>Primarios!S258</f>
        <v>0</v>
      </c>
      <c r="K268" s="18">
        <f>Primarios!T258</f>
        <v>0</v>
      </c>
      <c r="L268" s="18">
        <f>Primarios!U258</f>
        <v>0</v>
      </c>
    </row>
    <row r="269" spans="1:12" x14ac:dyDescent="0.2">
      <c r="A269" s="51">
        <v>0.874999999999995</v>
      </c>
      <c r="B269" s="16">
        <f>Primarios!A259</f>
        <v>253</v>
      </c>
      <c r="C269" s="1">
        <f>Primarios!B259</f>
        <v>0</v>
      </c>
      <c r="D269" s="18">
        <f>Primarios!M259</f>
        <v>0</v>
      </c>
      <c r="E269" s="18">
        <f>Primarios!N259</f>
        <v>0</v>
      </c>
      <c r="F269" s="18">
        <f>Primarios!O259</f>
        <v>0</v>
      </c>
      <c r="G269" s="18">
        <f>Primarios!P259</f>
        <v>0</v>
      </c>
      <c r="H269" s="18">
        <f>Primarios!Q259</f>
        <v>0</v>
      </c>
      <c r="I269" s="18">
        <f>Primarios!R259</f>
        <v>0</v>
      </c>
      <c r="J269" s="18">
        <f>Primarios!S259</f>
        <v>0</v>
      </c>
      <c r="K269" s="18">
        <f>Primarios!T259</f>
        <v>0</v>
      </c>
      <c r="L269" s="18">
        <f>Primarios!U259</f>
        <v>0</v>
      </c>
    </row>
    <row r="270" spans="1:12" x14ac:dyDescent="0.2">
      <c r="A270" s="51">
        <v>0.87847222222221699</v>
      </c>
      <c r="B270" s="16">
        <f>Primarios!A260</f>
        <v>254</v>
      </c>
      <c r="C270" s="1">
        <f>Primarios!B260</f>
        <v>0</v>
      </c>
      <c r="D270" s="18">
        <f>Primarios!M260</f>
        <v>0</v>
      </c>
      <c r="E270" s="18">
        <f>Primarios!N260</f>
        <v>0</v>
      </c>
      <c r="F270" s="18">
        <f>Primarios!O260</f>
        <v>0</v>
      </c>
      <c r="G270" s="18">
        <f>Primarios!P260</f>
        <v>0</v>
      </c>
      <c r="H270" s="18">
        <f>Primarios!Q260</f>
        <v>0</v>
      </c>
      <c r="I270" s="18">
        <f>Primarios!R260</f>
        <v>0</v>
      </c>
      <c r="J270" s="18">
        <f>Primarios!S260</f>
        <v>0</v>
      </c>
      <c r="K270" s="18">
        <f>Primarios!T260</f>
        <v>0</v>
      </c>
      <c r="L270" s="18">
        <f>Primarios!U260</f>
        <v>0</v>
      </c>
    </row>
    <row r="271" spans="1:12" x14ac:dyDescent="0.2">
      <c r="A271" s="51">
        <v>0.88194444444443898</v>
      </c>
      <c r="B271" s="16">
        <f>Primarios!A261</f>
        <v>255</v>
      </c>
      <c r="C271" s="1">
        <f>Primarios!B261</f>
        <v>0</v>
      </c>
      <c r="D271" s="18">
        <f>Primarios!M261</f>
        <v>0</v>
      </c>
      <c r="E271" s="18">
        <f>Primarios!N261</f>
        <v>0</v>
      </c>
      <c r="F271" s="18">
        <f>Primarios!O261</f>
        <v>0</v>
      </c>
      <c r="G271" s="18">
        <f>Primarios!P261</f>
        <v>0</v>
      </c>
      <c r="H271" s="18">
        <f>Primarios!Q261</f>
        <v>0</v>
      </c>
      <c r="I271" s="18">
        <f>Primarios!R261</f>
        <v>0</v>
      </c>
      <c r="J271" s="18">
        <f>Primarios!S261</f>
        <v>0</v>
      </c>
      <c r="K271" s="18">
        <f>Primarios!T261</f>
        <v>0</v>
      </c>
      <c r="L271" s="18">
        <f>Primarios!U261</f>
        <v>0</v>
      </c>
    </row>
    <row r="272" spans="1:12" x14ac:dyDescent="0.2">
      <c r="A272" s="51">
        <v>0.88541666666666097</v>
      </c>
      <c r="B272" s="16">
        <f>Primarios!A262</f>
        <v>256</v>
      </c>
      <c r="C272" s="1">
        <f>Primarios!B262</f>
        <v>0</v>
      </c>
      <c r="D272" s="18">
        <f>Primarios!M262</f>
        <v>0</v>
      </c>
      <c r="E272" s="18">
        <f>Primarios!N262</f>
        <v>0</v>
      </c>
      <c r="F272" s="18">
        <f>Primarios!O262</f>
        <v>0</v>
      </c>
      <c r="G272" s="18">
        <f>Primarios!P262</f>
        <v>0</v>
      </c>
      <c r="H272" s="18">
        <f>Primarios!Q262</f>
        <v>0</v>
      </c>
      <c r="I272" s="18">
        <f>Primarios!R262</f>
        <v>0</v>
      </c>
      <c r="J272" s="18">
        <f>Primarios!S262</f>
        <v>0</v>
      </c>
      <c r="K272" s="18">
        <f>Primarios!T262</f>
        <v>0</v>
      </c>
      <c r="L272" s="18">
        <f>Primarios!U262</f>
        <v>0</v>
      </c>
    </row>
    <row r="273" spans="1:12" x14ac:dyDescent="0.2">
      <c r="A273" s="51">
        <v>0.88888888888888296</v>
      </c>
      <c r="B273" s="16">
        <f>Primarios!A263</f>
        <v>257</v>
      </c>
      <c r="C273" s="1">
        <f>Primarios!B263</f>
        <v>0</v>
      </c>
      <c r="D273" s="18">
        <f>Primarios!M263</f>
        <v>0</v>
      </c>
      <c r="E273" s="18">
        <f>Primarios!N263</f>
        <v>0</v>
      </c>
      <c r="F273" s="18">
        <f>Primarios!O263</f>
        <v>0</v>
      </c>
      <c r="G273" s="18">
        <f>Primarios!P263</f>
        <v>0</v>
      </c>
      <c r="H273" s="18">
        <f>Primarios!Q263</f>
        <v>0</v>
      </c>
      <c r="I273" s="18">
        <f>Primarios!R263</f>
        <v>0</v>
      </c>
      <c r="J273" s="18">
        <f>Primarios!S263</f>
        <v>0</v>
      </c>
      <c r="K273" s="18">
        <f>Primarios!T263</f>
        <v>0</v>
      </c>
      <c r="L273" s="18">
        <f>Primarios!U263</f>
        <v>0</v>
      </c>
    </row>
    <row r="274" spans="1:12" x14ac:dyDescent="0.2">
      <c r="A274" s="51">
        <v>0.89236111111110505</v>
      </c>
      <c r="B274" s="16">
        <f>Primarios!A264</f>
        <v>258</v>
      </c>
      <c r="C274" s="1">
        <f>Primarios!B264</f>
        <v>0</v>
      </c>
      <c r="D274" s="18">
        <f>Primarios!M264</f>
        <v>0</v>
      </c>
      <c r="E274" s="18">
        <f>Primarios!N264</f>
        <v>0</v>
      </c>
      <c r="F274" s="18">
        <f>Primarios!O264</f>
        <v>0</v>
      </c>
      <c r="G274" s="18">
        <f>Primarios!P264</f>
        <v>0</v>
      </c>
      <c r="H274" s="18">
        <f>Primarios!Q264</f>
        <v>0</v>
      </c>
      <c r="I274" s="18">
        <f>Primarios!R264</f>
        <v>0</v>
      </c>
      <c r="J274" s="18">
        <f>Primarios!S264</f>
        <v>0</v>
      </c>
      <c r="K274" s="18">
        <f>Primarios!T264</f>
        <v>0</v>
      </c>
      <c r="L274" s="18">
        <f>Primarios!U264</f>
        <v>0</v>
      </c>
    </row>
    <row r="275" spans="1:12" x14ac:dyDescent="0.2">
      <c r="A275" s="51">
        <v>0.89583333333332704</v>
      </c>
      <c r="B275" s="16">
        <f>Primarios!A265</f>
        <v>259</v>
      </c>
      <c r="C275" s="1">
        <f>Primarios!B265</f>
        <v>0</v>
      </c>
      <c r="D275" s="18">
        <f>Primarios!M265</f>
        <v>0</v>
      </c>
      <c r="E275" s="18">
        <f>Primarios!N265</f>
        <v>0</v>
      </c>
      <c r="F275" s="18">
        <f>Primarios!O265</f>
        <v>0</v>
      </c>
      <c r="G275" s="18">
        <f>Primarios!P265</f>
        <v>0</v>
      </c>
      <c r="H275" s="18">
        <f>Primarios!Q265</f>
        <v>0</v>
      </c>
      <c r="I275" s="18">
        <f>Primarios!R265</f>
        <v>0</v>
      </c>
      <c r="J275" s="18">
        <f>Primarios!S265</f>
        <v>0</v>
      </c>
      <c r="K275" s="18">
        <f>Primarios!T265</f>
        <v>0</v>
      </c>
      <c r="L275" s="18">
        <f>Primarios!U265</f>
        <v>0</v>
      </c>
    </row>
    <row r="276" spans="1:12" x14ac:dyDescent="0.2">
      <c r="A276" s="51">
        <v>0.89930555555554903</v>
      </c>
      <c r="B276" s="16">
        <f>Primarios!A266</f>
        <v>260</v>
      </c>
      <c r="C276" s="1">
        <f>Primarios!B266</f>
        <v>0</v>
      </c>
      <c r="D276" s="18">
        <f>Primarios!M266</f>
        <v>0</v>
      </c>
      <c r="E276" s="18">
        <f>Primarios!N266</f>
        <v>0</v>
      </c>
      <c r="F276" s="18">
        <f>Primarios!O266</f>
        <v>0</v>
      </c>
      <c r="G276" s="18">
        <f>Primarios!P266</f>
        <v>0</v>
      </c>
      <c r="H276" s="18">
        <f>Primarios!Q266</f>
        <v>0</v>
      </c>
      <c r="I276" s="18">
        <f>Primarios!R266</f>
        <v>0</v>
      </c>
      <c r="J276" s="18">
        <f>Primarios!S266</f>
        <v>0</v>
      </c>
      <c r="K276" s="18">
        <f>Primarios!T266</f>
        <v>0</v>
      </c>
      <c r="L276" s="18">
        <f>Primarios!U266</f>
        <v>0</v>
      </c>
    </row>
    <row r="277" spans="1:12" x14ac:dyDescent="0.2">
      <c r="A277" s="51">
        <v>0.90277777777777102</v>
      </c>
      <c r="B277" s="16">
        <f>Primarios!A267</f>
        <v>261</v>
      </c>
      <c r="C277" s="1">
        <f>Primarios!B267</f>
        <v>0</v>
      </c>
      <c r="D277" s="18">
        <f>Primarios!M267</f>
        <v>0</v>
      </c>
      <c r="E277" s="18">
        <f>Primarios!N267</f>
        <v>0</v>
      </c>
      <c r="F277" s="18">
        <f>Primarios!O267</f>
        <v>0</v>
      </c>
      <c r="G277" s="18">
        <f>Primarios!P267</f>
        <v>0</v>
      </c>
      <c r="H277" s="18">
        <f>Primarios!Q267</f>
        <v>0</v>
      </c>
      <c r="I277" s="18">
        <f>Primarios!R267</f>
        <v>0</v>
      </c>
      <c r="J277" s="18">
        <f>Primarios!S267</f>
        <v>0</v>
      </c>
      <c r="K277" s="18">
        <f>Primarios!T267</f>
        <v>0</v>
      </c>
      <c r="L277" s="18">
        <f>Primarios!U267</f>
        <v>0</v>
      </c>
    </row>
    <row r="278" spans="1:12" x14ac:dyDescent="0.2">
      <c r="A278" s="51">
        <v>0.90624999999999301</v>
      </c>
      <c r="B278" s="16">
        <f>Primarios!A268</f>
        <v>262</v>
      </c>
      <c r="C278" s="1">
        <f>Primarios!B268</f>
        <v>0</v>
      </c>
      <c r="D278" s="18">
        <f>Primarios!M268</f>
        <v>0</v>
      </c>
      <c r="E278" s="18">
        <f>Primarios!N268</f>
        <v>0</v>
      </c>
      <c r="F278" s="18">
        <f>Primarios!O268</f>
        <v>0</v>
      </c>
      <c r="G278" s="18">
        <f>Primarios!P268</f>
        <v>0</v>
      </c>
      <c r="H278" s="18">
        <f>Primarios!Q268</f>
        <v>0</v>
      </c>
      <c r="I278" s="18">
        <f>Primarios!R268</f>
        <v>0</v>
      </c>
      <c r="J278" s="18">
        <f>Primarios!S268</f>
        <v>0</v>
      </c>
      <c r="K278" s="18">
        <f>Primarios!T268</f>
        <v>0</v>
      </c>
      <c r="L278" s="18">
        <f>Primarios!U268</f>
        <v>0</v>
      </c>
    </row>
    <row r="279" spans="1:12" x14ac:dyDescent="0.2">
      <c r="A279" s="51">
        <v>0.90972222222221499</v>
      </c>
      <c r="B279" s="16">
        <f>Primarios!A269</f>
        <v>263</v>
      </c>
      <c r="C279" s="1">
        <f>Primarios!B269</f>
        <v>0</v>
      </c>
      <c r="D279" s="18">
        <f>Primarios!M269</f>
        <v>0</v>
      </c>
      <c r="E279" s="18">
        <f>Primarios!N269</f>
        <v>0</v>
      </c>
      <c r="F279" s="18">
        <f>Primarios!O269</f>
        <v>0</v>
      </c>
      <c r="G279" s="18">
        <f>Primarios!P269</f>
        <v>0</v>
      </c>
      <c r="H279" s="18">
        <f>Primarios!Q269</f>
        <v>0</v>
      </c>
      <c r="I279" s="18">
        <f>Primarios!R269</f>
        <v>0</v>
      </c>
      <c r="J279" s="18">
        <f>Primarios!S269</f>
        <v>0</v>
      </c>
      <c r="K279" s="18">
        <f>Primarios!T269</f>
        <v>0</v>
      </c>
      <c r="L279" s="18">
        <f>Primarios!U269</f>
        <v>0</v>
      </c>
    </row>
    <row r="280" spans="1:12" x14ac:dyDescent="0.2">
      <c r="A280" s="51">
        <v>0.91319444444443698</v>
      </c>
      <c r="B280" s="16">
        <f>Primarios!A270</f>
        <v>264</v>
      </c>
      <c r="C280" s="1">
        <f>Primarios!B270</f>
        <v>0</v>
      </c>
      <c r="D280" s="18">
        <f>Primarios!M270</f>
        <v>0</v>
      </c>
      <c r="E280" s="18">
        <f>Primarios!N270</f>
        <v>0</v>
      </c>
      <c r="F280" s="18">
        <f>Primarios!O270</f>
        <v>0</v>
      </c>
      <c r="G280" s="18">
        <f>Primarios!P270</f>
        <v>0</v>
      </c>
      <c r="H280" s="18">
        <f>Primarios!Q270</f>
        <v>0</v>
      </c>
      <c r="I280" s="18">
        <f>Primarios!R270</f>
        <v>0</v>
      </c>
      <c r="J280" s="18">
        <f>Primarios!S270</f>
        <v>0</v>
      </c>
      <c r="K280" s="18">
        <f>Primarios!T270</f>
        <v>0</v>
      </c>
      <c r="L280" s="18">
        <f>Primarios!U270</f>
        <v>0</v>
      </c>
    </row>
    <row r="281" spans="1:12" x14ac:dyDescent="0.2">
      <c r="A281" s="51">
        <v>0.91666666666665897</v>
      </c>
      <c r="B281" s="16">
        <f>Primarios!A271</f>
        <v>265</v>
      </c>
      <c r="C281" s="1">
        <f>Primarios!B271</f>
        <v>0</v>
      </c>
      <c r="D281" s="18">
        <f>Primarios!M271</f>
        <v>0</v>
      </c>
      <c r="E281" s="18">
        <f>Primarios!N271</f>
        <v>0</v>
      </c>
      <c r="F281" s="18">
        <f>Primarios!O271</f>
        <v>0</v>
      </c>
      <c r="G281" s="18">
        <f>Primarios!P271</f>
        <v>0</v>
      </c>
      <c r="H281" s="18">
        <f>Primarios!Q271</f>
        <v>0</v>
      </c>
      <c r="I281" s="18">
        <f>Primarios!R271</f>
        <v>0</v>
      </c>
      <c r="J281" s="18">
        <f>Primarios!S271</f>
        <v>0</v>
      </c>
      <c r="K281" s="18">
        <f>Primarios!T271</f>
        <v>0</v>
      </c>
      <c r="L281" s="18">
        <f>Primarios!U271</f>
        <v>0</v>
      </c>
    </row>
    <row r="282" spans="1:12" x14ac:dyDescent="0.2">
      <c r="A282" s="51">
        <v>0.92013888888888096</v>
      </c>
      <c r="B282" s="16">
        <f>Primarios!A272</f>
        <v>266</v>
      </c>
      <c r="C282" s="1">
        <f>Primarios!B272</f>
        <v>0</v>
      </c>
      <c r="D282" s="18">
        <f>Primarios!M272</f>
        <v>0</v>
      </c>
      <c r="E282" s="18">
        <f>Primarios!N272</f>
        <v>0</v>
      </c>
      <c r="F282" s="18">
        <f>Primarios!O272</f>
        <v>0</v>
      </c>
      <c r="G282" s="18">
        <f>Primarios!P272</f>
        <v>0</v>
      </c>
      <c r="H282" s="18">
        <f>Primarios!Q272</f>
        <v>0</v>
      </c>
      <c r="I282" s="18">
        <f>Primarios!R272</f>
        <v>0</v>
      </c>
      <c r="J282" s="18">
        <f>Primarios!S272</f>
        <v>0</v>
      </c>
      <c r="K282" s="18">
        <f>Primarios!T272</f>
        <v>0</v>
      </c>
      <c r="L282" s="18">
        <f>Primarios!U272</f>
        <v>0</v>
      </c>
    </row>
    <row r="283" spans="1:12" x14ac:dyDescent="0.2">
      <c r="A283" s="51">
        <v>0.92361111111110294</v>
      </c>
      <c r="B283" s="16">
        <f>Primarios!A273</f>
        <v>267</v>
      </c>
      <c r="C283" s="1">
        <f>Primarios!B273</f>
        <v>0</v>
      </c>
      <c r="D283" s="18">
        <f>Primarios!M273</f>
        <v>0</v>
      </c>
      <c r="E283" s="18">
        <f>Primarios!N273</f>
        <v>0</v>
      </c>
      <c r="F283" s="18">
        <f>Primarios!O273</f>
        <v>0</v>
      </c>
      <c r="G283" s="18">
        <f>Primarios!P273</f>
        <v>0</v>
      </c>
      <c r="H283" s="18">
        <f>Primarios!Q273</f>
        <v>0</v>
      </c>
      <c r="I283" s="18">
        <f>Primarios!R273</f>
        <v>0</v>
      </c>
      <c r="J283" s="18">
        <f>Primarios!S273</f>
        <v>0</v>
      </c>
      <c r="K283" s="18">
        <f>Primarios!T273</f>
        <v>0</v>
      </c>
      <c r="L283" s="18">
        <f>Primarios!U273</f>
        <v>0</v>
      </c>
    </row>
    <row r="284" spans="1:12" x14ac:dyDescent="0.2">
      <c r="A284" s="51">
        <v>0.92708333333332504</v>
      </c>
      <c r="B284" s="16">
        <f>Primarios!A274</f>
        <v>268</v>
      </c>
      <c r="C284" s="1">
        <f>Primarios!B274</f>
        <v>0</v>
      </c>
      <c r="D284" s="18">
        <f>Primarios!M274</f>
        <v>0</v>
      </c>
      <c r="E284" s="18">
        <f>Primarios!N274</f>
        <v>0</v>
      </c>
      <c r="F284" s="18">
        <f>Primarios!O274</f>
        <v>0</v>
      </c>
      <c r="G284" s="18">
        <f>Primarios!P274</f>
        <v>0</v>
      </c>
      <c r="H284" s="18">
        <f>Primarios!Q274</f>
        <v>0</v>
      </c>
      <c r="I284" s="18">
        <f>Primarios!R274</f>
        <v>0</v>
      </c>
      <c r="J284" s="18">
        <f>Primarios!S274</f>
        <v>0</v>
      </c>
      <c r="K284" s="18">
        <f>Primarios!T274</f>
        <v>0</v>
      </c>
      <c r="L284" s="18">
        <f>Primarios!U274</f>
        <v>0</v>
      </c>
    </row>
    <row r="285" spans="1:12" x14ac:dyDescent="0.2">
      <c r="A285" s="51">
        <v>0.93055555555554703</v>
      </c>
      <c r="B285" s="16">
        <f>Primarios!A275</f>
        <v>269</v>
      </c>
      <c r="C285" s="1">
        <f>Primarios!B275</f>
        <v>0</v>
      </c>
      <c r="D285" s="18">
        <f>Primarios!M275</f>
        <v>0</v>
      </c>
      <c r="E285" s="18">
        <f>Primarios!N275</f>
        <v>0</v>
      </c>
      <c r="F285" s="18">
        <f>Primarios!O275</f>
        <v>0</v>
      </c>
      <c r="G285" s="18">
        <f>Primarios!P275</f>
        <v>0</v>
      </c>
      <c r="H285" s="18">
        <f>Primarios!Q275</f>
        <v>0</v>
      </c>
      <c r="I285" s="18">
        <f>Primarios!R275</f>
        <v>0</v>
      </c>
      <c r="J285" s="18">
        <f>Primarios!S275</f>
        <v>0</v>
      </c>
      <c r="K285" s="18">
        <f>Primarios!T275</f>
        <v>0</v>
      </c>
      <c r="L285" s="18">
        <f>Primarios!U275</f>
        <v>0</v>
      </c>
    </row>
    <row r="286" spans="1:12" x14ac:dyDescent="0.2">
      <c r="A286" s="51">
        <v>0.93402777777776902</v>
      </c>
      <c r="B286" s="16">
        <f>Primarios!A276</f>
        <v>270</v>
      </c>
      <c r="C286" s="1">
        <f>Primarios!B276</f>
        <v>0</v>
      </c>
      <c r="D286" s="18">
        <f>Primarios!M276</f>
        <v>0</v>
      </c>
      <c r="E286" s="18">
        <f>Primarios!N276</f>
        <v>0</v>
      </c>
      <c r="F286" s="18">
        <f>Primarios!O276</f>
        <v>0</v>
      </c>
      <c r="G286" s="18">
        <f>Primarios!P276</f>
        <v>0</v>
      </c>
      <c r="H286" s="18">
        <f>Primarios!Q276</f>
        <v>0</v>
      </c>
      <c r="I286" s="18">
        <f>Primarios!R276</f>
        <v>0</v>
      </c>
      <c r="J286" s="18">
        <f>Primarios!S276</f>
        <v>0</v>
      </c>
      <c r="K286" s="18">
        <f>Primarios!T276</f>
        <v>0</v>
      </c>
      <c r="L286" s="18">
        <f>Primarios!U276</f>
        <v>0</v>
      </c>
    </row>
    <row r="287" spans="1:12" x14ac:dyDescent="0.2">
      <c r="A287" s="51">
        <v>0.93749999999999101</v>
      </c>
      <c r="B287" s="16">
        <f>Primarios!A277</f>
        <v>271</v>
      </c>
      <c r="C287" s="1">
        <f>Primarios!B277</f>
        <v>0</v>
      </c>
      <c r="D287" s="18">
        <f>Primarios!M277</f>
        <v>0</v>
      </c>
      <c r="E287" s="18">
        <f>Primarios!N277</f>
        <v>0</v>
      </c>
      <c r="F287" s="18">
        <f>Primarios!O277</f>
        <v>0</v>
      </c>
      <c r="G287" s="18">
        <f>Primarios!P277</f>
        <v>0</v>
      </c>
      <c r="H287" s="18">
        <f>Primarios!Q277</f>
        <v>0</v>
      </c>
      <c r="I287" s="18">
        <f>Primarios!R277</f>
        <v>0</v>
      </c>
      <c r="J287" s="18">
        <f>Primarios!S277</f>
        <v>0</v>
      </c>
      <c r="K287" s="18">
        <f>Primarios!T277</f>
        <v>0</v>
      </c>
      <c r="L287" s="18">
        <f>Primarios!U277</f>
        <v>0</v>
      </c>
    </row>
    <row r="288" spans="1:12" x14ac:dyDescent="0.2">
      <c r="A288" s="51">
        <v>0.940972222222213</v>
      </c>
      <c r="B288" s="16">
        <f>Primarios!A278</f>
        <v>272</v>
      </c>
      <c r="C288" s="1">
        <f>Primarios!B278</f>
        <v>0</v>
      </c>
      <c r="D288" s="18">
        <f>Primarios!M278</f>
        <v>0</v>
      </c>
      <c r="E288" s="18">
        <f>Primarios!N278</f>
        <v>0</v>
      </c>
      <c r="F288" s="18">
        <f>Primarios!O278</f>
        <v>0</v>
      </c>
      <c r="G288" s="18">
        <f>Primarios!P278</f>
        <v>0</v>
      </c>
      <c r="H288" s="18">
        <f>Primarios!Q278</f>
        <v>0</v>
      </c>
      <c r="I288" s="18">
        <f>Primarios!R278</f>
        <v>0</v>
      </c>
      <c r="J288" s="18">
        <f>Primarios!S278</f>
        <v>0</v>
      </c>
      <c r="K288" s="18">
        <f>Primarios!T278</f>
        <v>0</v>
      </c>
      <c r="L288" s="18">
        <f>Primarios!U278</f>
        <v>0</v>
      </c>
    </row>
    <row r="289" spans="1:12" x14ac:dyDescent="0.2">
      <c r="A289" s="51">
        <v>0.94444444444443498</v>
      </c>
      <c r="B289" s="16">
        <f>Primarios!A279</f>
        <v>273</v>
      </c>
      <c r="C289" s="1">
        <f>Primarios!B279</f>
        <v>0</v>
      </c>
      <c r="D289" s="18">
        <f>Primarios!M279</f>
        <v>0</v>
      </c>
      <c r="E289" s="18">
        <f>Primarios!N279</f>
        <v>0</v>
      </c>
      <c r="F289" s="18">
        <f>Primarios!O279</f>
        <v>0</v>
      </c>
      <c r="G289" s="18">
        <f>Primarios!P279</f>
        <v>0</v>
      </c>
      <c r="H289" s="18">
        <f>Primarios!Q279</f>
        <v>0</v>
      </c>
      <c r="I289" s="18">
        <f>Primarios!R279</f>
        <v>0</v>
      </c>
      <c r="J289" s="18">
        <f>Primarios!S279</f>
        <v>0</v>
      </c>
      <c r="K289" s="18">
        <f>Primarios!T279</f>
        <v>0</v>
      </c>
      <c r="L289" s="18">
        <f>Primarios!U279</f>
        <v>0</v>
      </c>
    </row>
    <row r="290" spans="1:12" x14ac:dyDescent="0.2">
      <c r="A290" s="51">
        <v>0.94791666666665697</v>
      </c>
      <c r="B290" s="16">
        <f>Primarios!A280</f>
        <v>274</v>
      </c>
      <c r="C290" s="1">
        <f>Primarios!B280</f>
        <v>0</v>
      </c>
      <c r="D290" s="18">
        <f>Primarios!M280</f>
        <v>0</v>
      </c>
      <c r="E290" s="18">
        <f>Primarios!N280</f>
        <v>0</v>
      </c>
      <c r="F290" s="18">
        <f>Primarios!O280</f>
        <v>0</v>
      </c>
      <c r="G290" s="18">
        <f>Primarios!P280</f>
        <v>0</v>
      </c>
      <c r="H290" s="18">
        <f>Primarios!Q280</f>
        <v>0</v>
      </c>
      <c r="I290" s="18">
        <f>Primarios!R280</f>
        <v>0</v>
      </c>
      <c r="J290" s="18">
        <f>Primarios!S280</f>
        <v>0</v>
      </c>
      <c r="K290" s="18">
        <f>Primarios!T280</f>
        <v>0</v>
      </c>
      <c r="L290" s="18">
        <f>Primarios!U280</f>
        <v>0</v>
      </c>
    </row>
    <row r="291" spans="1:12" x14ac:dyDescent="0.2">
      <c r="A291" s="51">
        <v>0.95138888888887896</v>
      </c>
      <c r="B291" s="16">
        <f>Primarios!A281</f>
        <v>275</v>
      </c>
      <c r="C291" s="1">
        <f>Primarios!B281</f>
        <v>0</v>
      </c>
      <c r="D291" s="18">
        <f>Primarios!M281</f>
        <v>0</v>
      </c>
      <c r="E291" s="18">
        <f>Primarios!N281</f>
        <v>0</v>
      </c>
      <c r="F291" s="18">
        <f>Primarios!O281</f>
        <v>0</v>
      </c>
      <c r="G291" s="18">
        <f>Primarios!P281</f>
        <v>0</v>
      </c>
      <c r="H291" s="18">
        <f>Primarios!Q281</f>
        <v>0</v>
      </c>
      <c r="I291" s="18">
        <f>Primarios!R281</f>
        <v>0</v>
      </c>
      <c r="J291" s="18">
        <f>Primarios!S281</f>
        <v>0</v>
      </c>
      <c r="K291" s="18">
        <f>Primarios!T281</f>
        <v>0</v>
      </c>
      <c r="L291" s="18">
        <f>Primarios!U281</f>
        <v>0</v>
      </c>
    </row>
    <row r="292" spans="1:12" x14ac:dyDescent="0.2">
      <c r="A292" s="51">
        <v>0.95486111111110095</v>
      </c>
      <c r="B292" s="16">
        <f>Primarios!A282</f>
        <v>276</v>
      </c>
      <c r="C292" s="1">
        <f>Primarios!B282</f>
        <v>0</v>
      </c>
      <c r="D292" s="18">
        <f>Primarios!M282</f>
        <v>0</v>
      </c>
      <c r="E292" s="18">
        <f>Primarios!N282</f>
        <v>0</v>
      </c>
      <c r="F292" s="18">
        <f>Primarios!O282</f>
        <v>0</v>
      </c>
      <c r="G292" s="18">
        <f>Primarios!P282</f>
        <v>0</v>
      </c>
      <c r="H292" s="18">
        <f>Primarios!Q282</f>
        <v>0</v>
      </c>
      <c r="I292" s="18">
        <f>Primarios!R282</f>
        <v>0</v>
      </c>
      <c r="J292" s="18">
        <f>Primarios!S282</f>
        <v>0</v>
      </c>
      <c r="K292" s="18">
        <f>Primarios!T282</f>
        <v>0</v>
      </c>
      <c r="L292" s="18">
        <f>Primarios!U282</f>
        <v>0</v>
      </c>
    </row>
    <row r="293" spans="1:12" x14ac:dyDescent="0.2">
      <c r="A293" s="51">
        <v>0.95833333333332305</v>
      </c>
      <c r="B293" s="16">
        <f>Primarios!A283</f>
        <v>277</v>
      </c>
      <c r="C293" s="1">
        <f>Primarios!B283</f>
        <v>0</v>
      </c>
      <c r="D293" s="18">
        <f>Primarios!M283</f>
        <v>0</v>
      </c>
      <c r="E293" s="18">
        <f>Primarios!N283</f>
        <v>0</v>
      </c>
      <c r="F293" s="18">
        <f>Primarios!O283</f>
        <v>0</v>
      </c>
      <c r="G293" s="18">
        <f>Primarios!P283</f>
        <v>0</v>
      </c>
      <c r="H293" s="18">
        <f>Primarios!Q283</f>
        <v>0</v>
      </c>
      <c r="I293" s="18">
        <f>Primarios!R283</f>
        <v>0</v>
      </c>
      <c r="J293" s="18">
        <f>Primarios!S283</f>
        <v>0</v>
      </c>
      <c r="K293" s="18">
        <f>Primarios!T283</f>
        <v>0</v>
      </c>
      <c r="L293" s="18">
        <f>Primarios!U283</f>
        <v>0</v>
      </c>
    </row>
    <row r="294" spans="1:12" x14ac:dyDescent="0.2">
      <c r="A294" s="51">
        <v>0.96180555555554503</v>
      </c>
      <c r="B294" s="16">
        <f>Primarios!A284</f>
        <v>278</v>
      </c>
      <c r="C294" s="1">
        <f>Primarios!B284</f>
        <v>0</v>
      </c>
      <c r="D294" s="18">
        <f>Primarios!M284</f>
        <v>0</v>
      </c>
      <c r="E294" s="18">
        <f>Primarios!N284</f>
        <v>0</v>
      </c>
      <c r="F294" s="18">
        <f>Primarios!O284</f>
        <v>0</v>
      </c>
      <c r="G294" s="18">
        <f>Primarios!P284</f>
        <v>0</v>
      </c>
      <c r="H294" s="18">
        <f>Primarios!Q284</f>
        <v>0</v>
      </c>
      <c r="I294" s="18">
        <f>Primarios!R284</f>
        <v>0</v>
      </c>
      <c r="J294" s="18">
        <f>Primarios!S284</f>
        <v>0</v>
      </c>
      <c r="K294" s="18">
        <f>Primarios!T284</f>
        <v>0</v>
      </c>
      <c r="L294" s="18">
        <f>Primarios!U284</f>
        <v>0</v>
      </c>
    </row>
    <row r="295" spans="1:12" x14ac:dyDescent="0.2">
      <c r="A295" s="51">
        <v>0.96527777777776702</v>
      </c>
      <c r="B295" s="16">
        <f>Primarios!A285</f>
        <v>279</v>
      </c>
      <c r="C295" s="1">
        <f>Primarios!B285</f>
        <v>0</v>
      </c>
      <c r="D295" s="18">
        <f>Primarios!M285</f>
        <v>0</v>
      </c>
      <c r="E295" s="18">
        <f>Primarios!N285</f>
        <v>0</v>
      </c>
      <c r="F295" s="18">
        <f>Primarios!O285</f>
        <v>0</v>
      </c>
      <c r="G295" s="18">
        <f>Primarios!P285</f>
        <v>0</v>
      </c>
      <c r="H295" s="18">
        <f>Primarios!Q285</f>
        <v>0</v>
      </c>
      <c r="I295" s="18">
        <f>Primarios!R285</f>
        <v>0</v>
      </c>
      <c r="J295" s="18">
        <f>Primarios!S285</f>
        <v>0</v>
      </c>
      <c r="K295" s="18">
        <f>Primarios!T285</f>
        <v>0</v>
      </c>
      <c r="L295" s="18">
        <f>Primarios!U285</f>
        <v>0</v>
      </c>
    </row>
    <row r="296" spans="1:12" x14ac:dyDescent="0.2">
      <c r="A296" s="51">
        <v>0.96874999999998901</v>
      </c>
      <c r="B296" s="16">
        <f>Primarios!A286</f>
        <v>280</v>
      </c>
      <c r="C296" s="1">
        <f>Primarios!B286</f>
        <v>0</v>
      </c>
      <c r="D296" s="18">
        <f>Primarios!M286</f>
        <v>0</v>
      </c>
      <c r="E296" s="18">
        <f>Primarios!N286</f>
        <v>0</v>
      </c>
      <c r="F296" s="18">
        <f>Primarios!O286</f>
        <v>0</v>
      </c>
      <c r="G296" s="18">
        <f>Primarios!P286</f>
        <v>0</v>
      </c>
      <c r="H296" s="18">
        <f>Primarios!Q286</f>
        <v>0</v>
      </c>
      <c r="I296" s="18">
        <f>Primarios!R286</f>
        <v>0</v>
      </c>
      <c r="J296" s="18">
        <f>Primarios!S286</f>
        <v>0</v>
      </c>
      <c r="K296" s="18">
        <f>Primarios!T286</f>
        <v>0</v>
      </c>
      <c r="L296" s="18">
        <f>Primarios!U286</f>
        <v>0</v>
      </c>
    </row>
    <row r="297" spans="1:12" x14ac:dyDescent="0.2">
      <c r="A297" s="51">
        <v>0.972222222222211</v>
      </c>
      <c r="B297" s="16">
        <f>Primarios!A287</f>
        <v>281</v>
      </c>
      <c r="C297" s="1">
        <f>Primarios!B287</f>
        <v>0</v>
      </c>
      <c r="D297" s="18">
        <f>Primarios!M287</f>
        <v>0</v>
      </c>
      <c r="E297" s="18">
        <f>Primarios!N287</f>
        <v>0</v>
      </c>
      <c r="F297" s="18">
        <f>Primarios!O287</f>
        <v>0</v>
      </c>
      <c r="G297" s="18">
        <f>Primarios!P287</f>
        <v>0</v>
      </c>
      <c r="H297" s="18">
        <f>Primarios!Q287</f>
        <v>0</v>
      </c>
      <c r="I297" s="18">
        <f>Primarios!R287</f>
        <v>0</v>
      </c>
      <c r="J297" s="18">
        <f>Primarios!S287</f>
        <v>0</v>
      </c>
      <c r="K297" s="18">
        <f>Primarios!T287</f>
        <v>0</v>
      </c>
      <c r="L297" s="18">
        <f>Primarios!U287</f>
        <v>0</v>
      </c>
    </row>
    <row r="298" spans="1:12" x14ac:dyDescent="0.2">
      <c r="A298" s="51">
        <v>0.97569444444443298</v>
      </c>
      <c r="B298" s="16">
        <f>Primarios!A288</f>
        <v>282</v>
      </c>
      <c r="C298" s="1">
        <f>Primarios!B288</f>
        <v>0</v>
      </c>
      <c r="D298" s="18">
        <f>Primarios!M288</f>
        <v>0</v>
      </c>
      <c r="E298" s="18">
        <f>Primarios!N288</f>
        <v>0</v>
      </c>
      <c r="F298" s="18">
        <f>Primarios!O288</f>
        <v>0</v>
      </c>
      <c r="G298" s="18">
        <f>Primarios!P288</f>
        <v>0</v>
      </c>
      <c r="H298" s="18">
        <f>Primarios!Q288</f>
        <v>0</v>
      </c>
      <c r="I298" s="18">
        <f>Primarios!R288</f>
        <v>0</v>
      </c>
      <c r="J298" s="18">
        <f>Primarios!S288</f>
        <v>0</v>
      </c>
      <c r="K298" s="18">
        <f>Primarios!T288</f>
        <v>0</v>
      </c>
      <c r="L298" s="18">
        <f>Primarios!U288</f>
        <v>0</v>
      </c>
    </row>
    <row r="299" spans="1:12" x14ac:dyDescent="0.2">
      <c r="A299" s="51">
        <v>0.97916666666665497</v>
      </c>
      <c r="B299" s="16">
        <f>Primarios!A289</f>
        <v>283</v>
      </c>
      <c r="C299" s="1">
        <f>Primarios!B289</f>
        <v>0</v>
      </c>
      <c r="D299" s="18">
        <f>Primarios!M289</f>
        <v>0</v>
      </c>
      <c r="E299" s="18">
        <f>Primarios!N289</f>
        <v>0</v>
      </c>
      <c r="F299" s="18">
        <f>Primarios!O289</f>
        <v>0</v>
      </c>
      <c r="G299" s="18">
        <f>Primarios!P289</f>
        <v>0</v>
      </c>
      <c r="H299" s="18">
        <f>Primarios!Q289</f>
        <v>0</v>
      </c>
      <c r="I299" s="18">
        <f>Primarios!R289</f>
        <v>0</v>
      </c>
      <c r="J299" s="18">
        <f>Primarios!S289</f>
        <v>0</v>
      </c>
      <c r="K299" s="18">
        <f>Primarios!T289</f>
        <v>0</v>
      </c>
      <c r="L299" s="18">
        <f>Primarios!U289</f>
        <v>0</v>
      </c>
    </row>
    <row r="300" spans="1:12" x14ac:dyDescent="0.2">
      <c r="A300" s="51">
        <v>0.98263888888887696</v>
      </c>
      <c r="B300" s="16">
        <f>Primarios!A290</f>
        <v>284</v>
      </c>
      <c r="C300" s="1">
        <f>Primarios!B290</f>
        <v>0</v>
      </c>
      <c r="D300" s="18">
        <f>Primarios!M290</f>
        <v>0</v>
      </c>
      <c r="E300" s="18">
        <f>Primarios!N290</f>
        <v>0</v>
      </c>
      <c r="F300" s="18">
        <f>Primarios!O290</f>
        <v>0</v>
      </c>
      <c r="G300" s="18">
        <f>Primarios!P290</f>
        <v>0</v>
      </c>
      <c r="H300" s="18">
        <f>Primarios!Q290</f>
        <v>0</v>
      </c>
      <c r="I300" s="18">
        <f>Primarios!R290</f>
        <v>0</v>
      </c>
      <c r="J300" s="18">
        <f>Primarios!S290</f>
        <v>0</v>
      </c>
      <c r="K300" s="18">
        <f>Primarios!T290</f>
        <v>0</v>
      </c>
      <c r="L300" s="18">
        <f>Primarios!U290</f>
        <v>0</v>
      </c>
    </row>
    <row r="301" spans="1:12" x14ac:dyDescent="0.2">
      <c r="A301" s="51">
        <v>0.98611111111109895</v>
      </c>
      <c r="B301" s="16">
        <f>Primarios!A291</f>
        <v>285</v>
      </c>
      <c r="C301" s="1">
        <f>Primarios!B291</f>
        <v>0</v>
      </c>
      <c r="D301" s="18">
        <f>Primarios!M291</f>
        <v>0</v>
      </c>
      <c r="E301" s="18">
        <f>Primarios!N291</f>
        <v>0</v>
      </c>
      <c r="F301" s="18">
        <f>Primarios!O291</f>
        <v>0</v>
      </c>
      <c r="G301" s="18">
        <f>Primarios!P291</f>
        <v>0</v>
      </c>
      <c r="H301" s="18">
        <f>Primarios!Q291</f>
        <v>0</v>
      </c>
      <c r="I301" s="18">
        <f>Primarios!R291</f>
        <v>0</v>
      </c>
      <c r="J301" s="18">
        <f>Primarios!S291</f>
        <v>0</v>
      </c>
      <c r="K301" s="18">
        <f>Primarios!T291</f>
        <v>0</v>
      </c>
      <c r="L301" s="18">
        <f>Primarios!U291</f>
        <v>0</v>
      </c>
    </row>
    <row r="302" spans="1:12" x14ac:dyDescent="0.2">
      <c r="A302" s="51">
        <v>0.98958333333332105</v>
      </c>
      <c r="B302" s="16">
        <f>Primarios!A292</f>
        <v>286</v>
      </c>
      <c r="C302" s="1">
        <f>Primarios!B292</f>
        <v>0</v>
      </c>
      <c r="D302" s="18">
        <f>Primarios!M292</f>
        <v>0</v>
      </c>
      <c r="E302" s="18">
        <f>Primarios!N292</f>
        <v>0</v>
      </c>
      <c r="F302" s="18">
        <f>Primarios!O292</f>
        <v>0</v>
      </c>
      <c r="G302" s="18">
        <f>Primarios!P292</f>
        <v>0</v>
      </c>
      <c r="H302" s="18">
        <f>Primarios!Q292</f>
        <v>0</v>
      </c>
      <c r="I302" s="18">
        <f>Primarios!R292</f>
        <v>0</v>
      </c>
      <c r="J302" s="18">
        <f>Primarios!S292</f>
        <v>0</v>
      </c>
      <c r="K302" s="18">
        <f>Primarios!T292</f>
        <v>0</v>
      </c>
      <c r="L302" s="18">
        <f>Primarios!U292</f>
        <v>0</v>
      </c>
    </row>
    <row r="303" spans="1:12" x14ac:dyDescent="0.2">
      <c r="A303" s="51">
        <v>0.99305555555554303</v>
      </c>
      <c r="B303" s="16">
        <f>Primarios!A293</f>
        <v>287</v>
      </c>
      <c r="C303" s="1">
        <f>Primarios!B293</f>
        <v>0</v>
      </c>
      <c r="D303" s="18">
        <f>Primarios!M293</f>
        <v>0</v>
      </c>
      <c r="E303" s="18">
        <f>Primarios!N293</f>
        <v>0</v>
      </c>
      <c r="F303" s="18">
        <f>Primarios!O293</f>
        <v>0</v>
      </c>
      <c r="G303" s="18">
        <f>Primarios!P293</f>
        <v>0</v>
      </c>
      <c r="H303" s="18">
        <f>Primarios!Q293</f>
        <v>0</v>
      </c>
      <c r="I303" s="18">
        <f>Primarios!R293</f>
        <v>0</v>
      </c>
      <c r="J303" s="18">
        <f>Primarios!S293</f>
        <v>0</v>
      </c>
      <c r="K303" s="18">
        <f>Primarios!T293</f>
        <v>0</v>
      </c>
      <c r="L303" s="18">
        <f>Primarios!U293</f>
        <v>0</v>
      </c>
    </row>
    <row r="304" spans="1:12" x14ac:dyDescent="0.2">
      <c r="A304" s="51">
        <v>0.99652777777776502</v>
      </c>
      <c r="B304" s="16">
        <f>Primarios!A294</f>
        <v>288</v>
      </c>
      <c r="C304" s="1">
        <f>Primarios!B294</f>
        <v>0</v>
      </c>
      <c r="D304" s="18">
        <f>Primarios!M294</f>
        <v>0</v>
      </c>
      <c r="E304" s="18">
        <f>Primarios!N294</f>
        <v>0</v>
      </c>
      <c r="F304" s="18">
        <f>Primarios!O294</f>
        <v>0</v>
      </c>
      <c r="G304" s="18">
        <f>Primarios!P294</f>
        <v>0</v>
      </c>
      <c r="H304" s="18">
        <f>Primarios!Q294</f>
        <v>0</v>
      </c>
      <c r="I304" s="18">
        <f>Primarios!R294</f>
        <v>0</v>
      </c>
      <c r="J304" s="18">
        <f>Primarios!S294</f>
        <v>0</v>
      </c>
      <c r="K304" s="18">
        <f>Primarios!T294</f>
        <v>0</v>
      </c>
      <c r="L304" s="18">
        <f>Primarios!U294</f>
        <v>0</v>
      </c>
    </row>
    <row r="305" spans="1:12" ht="10.8" thickBot="1" x14ac:dyDescent="0.25">
      <c r="A305" s="51">
        <v>0.99999999999998701</v>
      </c>
      <c r="B305" s="16">
        <f>Primarios!A295</f>
        <v>289</v>
      </c>
      <c r="C305" s="1">
        <f>Primarios!B295</f>
        <v>0</v>
      </c>
      <c r="D305" s="18">
        <f>Primarios!M295</f>
        <v>0</v>
      </c>
      <c r="E305" s="18">
        <f>Primarios!N295</f>
        <v>0</v>
      </c>
      <c r="F305" s="18">
        <f>Primarios!O295</f>
        <v>0</v>
      </c>
      <c r="G305" s="18">
        <f>Primarios!P295</f>
        <v>0</v>
      </c>
      <c r="H305" s="18">
        <f>Primarios!Q295</f>
        <v>0</v>
      </c>
      <c r="I305" s="18">
        <f>Primarios!R295</f>
        <v>0</v>
      </c>
      <c r="J305" s="18">
        <f>Primarios!S295</f>
        <v>0</v>
      </c>
      <c r="K305" s="18">
        <f>Primarios!T295</f>
        <v>0</v>
      </c>
      <c r="L305" s="18">
        <f>Primarios!U295</f>
        <v>0</v>
      </c>
    </row>
    <row r="306" spans="1:12" x14ac:dyDescent="0.2">
      <c r="B306" s="170" t="s">
        <v>39</v>
      </c>
      <c r="C306" s="171"/>
      <c r="D306" s="78">
        <f t="shared" ref="D306:L306" si="0">MAX(D17:D305)</f>
        <v>0</v>
      </c>
      <c r="E306" s="78">
        <f t="shared" si="0"/>
        <v>0</v>
      </c>
      <c r="F306" s="78">
        <f t="shared" si="0"/>
        <v>0</v>
      </c>
      <c r="G306" s="78">
        <f t="shared" si="0"/>
        <v>0</v>
      </c>
      <c r="H306" s="78">
        <f t="shared" si="0"/>
        <v>0</v>
      </c>
      <c r="I306" s="78">
        <f t="shared" si="0"/>
        <v>0</v>
      </c>
      <c r="J306" s="78">
        <f t="shared" si="0"/>
        <v>0</v>
      </c>
      <c r="K306" s="78">
        <f t="shared" si="0"/>
        <v>0</v>
      </c>
      <c r="L306" s="78">
        <f t="shared" si="0"/>
        <v>0</v>
      </c>
    </row>
    <row r="307" spans="1:12" x14ac:dyDescent="0.2">
      <c r="B307" s="172" t="s">
        <v>4</v>
      </c>
      <c r="C307" s="173"/>
      <c r="D307" s="79">
        <f t="shared" ref="D307:L307" si="1">MIN(D17:D305)</f>
        <v>0</v>
      </c>
      <c r="E307" s="79">
        <f t="shared" si="1"/>
        <v>0</v>
      </c>
      <c r="F307" s="79">
        <f t="shared" si="1"/>
        <v>0</v>
      </c>
      <c r="G307" s="79">
        <f t="shared" si="1"/>
        <v>0</v>
      </c>
      <c r="H307" s="79">
        <f t="shared" si="1"/>
        <v>0</v>
      </c>
      <c r="I307" s="79">
        <f t="shared" si="1"/>
        <v>0</v>
      </c>
      <c r="J307" s="79">
        <f t="shared" si="1"/>
        <v>0</v>
      </c>
      <c r="K307" s="79">
        <f t="shared" si="1"/>
        <v>0</v>
      </c>
      <c r="L307" s="79">
        <f t="shared" si="1"/>
        <v>0</v>
      </c>
    </row>
    <row r="308" spans="1:12" ht="10.8" thickBot="1" x14ac:dyDescent="0.25">
      <c r="B308" s="184" t="s">
        <v>5</v>
      </c>
      <c r="C308" s="185"/>
      <c r="D308" s="80">
        <f>ROUND(AVERAGE(D17:D305),1)</f>
        <v>0</v>
      </c>
      <c r="E308" s="80">
        <f t="shared" ref="E308:L308" si="2">ROUND(AVERAGE(E17:E305),1)</f>
        <v>0</v>
      </c>
      <c r="F308" s="80">
        <f t="shared" si="2"/>
        <v>0</v>
      </c>
      <c r="G308" s="80">
        <f t="shared" si="2"/>
        <v>0</v>
      </c>
      <c r="H308" s="80">
        <f t="shared" si="2"/>
        <v>0</v>
      </c>
      <c r="I308" s="80">
        <f t="shared" si="2"/>
        <v>0</v>
      </c>
      <c r="J308" s="80">
        <f t="shared" si="2"/>
        <v>0</v>
      </c>
      <c r="K308" s="80">
        <f t="shared" si="2"/>
        <v>0</v>
      </c>
      <c r="L308" s="80">
        <f t="shared" si="2"/>
        <v>0</v>
      </c>
    </row>
    <row r="309" spans="1:12" x14ac:dyDescent="0.2">
      <c r="B309" s="180" t="s">
        <v>17</v>
      </c>
      <c r="C309" s="181"/>
      <c r="D309" s="81">
        <f t="shared" ref="D309:I309" si="3">$D$311-D308</f>
        <v>0</v>
      </c>
      <c r="E309" s="81">
        <f t="shared" si="3"/>
        <v>0</v>
      </c>
      <c r="F309" s="81">
        <f t="shared" si="3"/>
        <v>0</v>
      </c>
      <c r="G309" s="81">
        <f t="shared" si="3"/>
        <v>0</v>
      </c>
      <c r="H309" s="81">
        <f t="shared" si="3"/>
        <v>0</v>
      </c>
      <c r="I309" s="81">
        <f t="shared" si="3"/>
        <v>0</v>
      </c>
      <c r="J309" s="81">
        <f>$D$311-J308</f>
        <v>0</v>
      </c>
      <c r="K309" s="81">
        <f>$D$311-K308</f>
        <v>0</v>
      </c>
      <c r="L309" s="81">
        <f>$D$311-L308</f>
        <v>0</v>
      </c>
    </row>
    <row r="310" spans="1:12" ht="10.8" thickBot="1" x14ac:dyDescent="0.25">
      <c r="B310" s="21"/>
      <c r="C310" s="58"/>
    </row>
    <row r="311" spans="1:12" ht="10.8" thickBot="1" x14ac:dyDescent="0.25">
      <c r="B311" s="168" t="s">
        <v>5</v>
      </c>
      <c r="C311" s="169"/>
      <c r="D311" s="82">
        <f>ROUND(AVERAGE(D308:L308),1)</f>
        <v>0</v>
      </c>
      <c r="E311" s="60"/>
      <c r="F311" s="60"/>
    </row>
    <row r="312" spans="1:12" ht="10.8" thickBot="1" x14ac:dyDescent="0.25">
      <c r="B312" s="168" t="s">
        <v>27</v>
      </c>
      <c r="C312" s="169"/>
      <c r="D312" s="82">
        <f>MIN(D307:L307)</f>
        <v>0</v>
      </c>
    </row>
    <row r="313" spans="1:12" ht="10.8" thickBot="1" x14ac:dyDescent="0.25">
      <c r="B313" s="168" t="s">
        <v>28</v>
      </c>
      <c r="C313" s="169"/>
      <c r="D313" s="83">
        <f>MAX(D306:L306)</f>
        <v>0</v>
      </c>
    </row>
    <row r="314" spans="1:12" x14ac:dyDescent="0.2">
      <c r="B314" s="21"/>
      <c r="C314" s="58"/>
    </row>
    <row r="315" spans="1:12" x14ac:dyDescent="0.2">
      <c r="B315" s="21"/>
      <c r="C315" s="58"/>
    </row>
    <row r="316" spans="1:12" x14ac:dyDescent="0.2">
      <c r="B316" s="44" t="s">
        <v>26</v>
      </c>
      <c r="C316" s="58"/>
      <c r="D316" s="62"/>
      <c r="E316" s="62"/>
      <c r="F316" s="62"/>
    </row>
    <row r="317" spans="1:12" x14ac:dyDescent="0.2">
      <c r="B317" s="21"/>
      <c r="C317" s="58"/>
      <c r="D317" s="62"/>
      <c r="E317" s="62"/>
      <c r="F317" s="62"/>
    </row>
    <row r="318" spans="1:12" ht="21.75" customHeight="1" x14ac:dyDescent="0.2">
      <c r="B318" s="174" t="s">
        <v>19</v>
      </c>
      <c r="C318" s="186" t="s">
        <v>18</v>
      </c>
      <c r="D318" s="187"/>
      <c r="E318" s="188"/>
      <c r="F318" s="162" t="s">
        <v>22</v>
      </c>
      <c r="G318" s="163"/>
      <c r="H318" s="63"/>
      <c r="I318" s="63"/>
    </row>
    <row r="319" spans="1:12" x14ac:dyDescent="0.2">
      <c r="B319" s="175"/>
      <c r="C319" s="176" t="s">
        <v>16</v>
      </c>
      <c r="D319" s="178" t="s">
        <v>20</v>
      </c>
      <c r="E319" s="178" t="s">
        <v>21</v>
      </c>
      <c r="F319" s="164"/>
      <c r="G319" s="165"/>
      <c r="H319" s="63"/>
      <c r="I319" s="63"/>
    </row>
    <row r="320" spans="1:12" x14ac:dyDescent="0.2">
      <c r="B320" s="84" t="s">
        <v>23</v>
      </c>
      <c r="C320" s="177"/>
      <c r="D320" s="179"/>
      <c r="E320" s="179"/>
      <c r="F320" s="65" t="s">
        <v>24</v>
      </c>
      <c r="G320" s="65" t="s">
        <v>25</v>
      </c>
      <c r="H320" s="66"/>
      <c r="I320" s="66"/>
    </row>
    <row r="321" spans="2:9" x14ac:dyDescent="0.2">
      <c r="B321" s="67">
        <f>COUNT(D308:L308)</f>
        <v>9</v>
      </c>
      <c r="C321" s="68">
        <f>STDEV(D308:L308)</f>
        <v>0</v>
      </c>
      <c r="D321" s="69" t="e">
        <f>CONFIDENCE(0.05,C321,B321)</f>
        <v>#NUM!</v>
      </c>
      <c r="E321" s="70">
        <f>ROUND(AVERAGE(D308:L308),2)</f>
        <v>0</v>
      </c>
      <c r="F321" s="70" t="e">
        <f>E321-D321</f>
        <v>#NUM!</v>
      </c>
      <c r="G321" s="70" t="e">
        <f>E321+D321</f>
        <v>#NUM!</v>
      </c>
      <c r="H321" s="63"/>
      <c r="I321" s="63"/>
    </row>
    <row r="322" spans="2:9" x14ac:dyDescent="0.2">
      <c r="B322" s="21"/>
      <c r="C322" s="58"/>
      <c r="D322" s="62"/>
      <c r="E322" s="62"/>
      <c r="F322" s="62"/>
    </row>
    <row r="323" spans="2:9" x14ac:dyDescent="0.2">
      <c r="B323" s="21"/>
      <c r="C323" s="58"/>
      <c r="D323" s="62"/>
      <c r="E323" s="62"/>
      <c r="F323" s="62"/>
    </row>
    <row r="324" spans="2:9" x14ac:dyDescent="0.2">
      <c r="B324" s="21"/>
      <c r="C324" s="58"/>
      <c r="D324" s="62"/>
      <c r="E324" s="62"/>
      <c r="F324" s="62"/>
    </row>
    <row r="325" spans="2:9" x14ac:dyDescent="0.2">
      <c r="B325" s="21"/>
      <c r="C325" s="58"/>
      <c r="D325" s="62"/>
      <c r="E325" s="62"/>
      <c r="F325" s="62"/>
    </row>
    <row r="326" spans="2:9" x14ac:dyDescent="0.2">
      <c r="B326" s="21"/>
      <c r="C326" s="58"/>
      <c r="D326" s="62"/>
      <c r="E326" s="62"/>
      <c r="F326" s="62"/>
    </row>
    <row r="327" spans="2:9" x14ac:dyDescent="0.2">
      <c r="B327" s="21"/>
      <c r="C327" s="58"/>
      <c r="D327" s="62"/>
      <c r="E327" s="62"/>
      <c r="F327" s="62"/>
    </row>
    <row r="328" spans="2:9" x14ac:dyDescent="0.2">
      <c r="B328" s="21"/>
      <c r="C328" s="58"/>
      <c r="D328" s="62"/>
      <c r="E328" s="62"/>
      <c r="F328" s="62"/>
    </row>
    <row r="329" spans="2:9" x14ac:dyDescent="0.2">
      <c r="B329" s="21"/>
      <c r="C329" s="58"/>
      <c r="D329" s="62"/>
      <c r="E329" s="62"/>
      <c r="F329" s="62"/>
    </row>
    <row r="330" spans="2:9" x14ac:dyDescent="0.2">
      <c r="B330" s="21"/>
      <c r="C330" s="58"/>
      <c r="D330" s="62"/>
      <c r="E330" s="62"/>
      <c r="F330" s="62"/>
    </row>
    <row r="331" spans="2:9" x14ac:dyDescent="0.2">
      <c r="B331" s="21"/>
      <c r="C331" s="58"/>
      <c r="D331" s="62"/>
      <c r="E331" s="62"/>
      <c r="F331" s="62"/>
    </row>
    <row r="332" spans="2:9" x14ac:dyDescent="0.2">
      <c r="B332" s="21"/>
      <c r="C332" s="58"/>
      <c r="D332" s="62"/>
      <c r="E332" s="62"/>
      <c r="F332" s="62"/>
    </row>
    <row r="333" spans="2:9" x14ac:dyDescent="0.2">
      <c r="B333" s="21"/>
      <c r="C333" s="58"/>
      <c r="D333" s="62"/>
      <c r="E333" s="62"/>
      <c r="F333" s="62"/>
    </row>
    <row r="334" spans="2:9" x14ac:dyDescent="0.2">
      <c r="B334" s="21"/>
      <c r="C334" s="58"/>
      <c r="D334" s="62"/>
      <c r="E334" s="62"/>
      <c r="F334" s="62"/>
    </row>
    <row r="335" spans="2:9" x14ac:dyDescent="0.2">
      <c r="B335" s="21"/>
      <c r="C335" s="58"/>
      <c r="D335" s="62"/>
      <c r="E335" s="62"/>
      <c r="F335" s="62"/>
    </row>
    <row r="336" spans="2:9" x14ac:dyDescent="0.2">
      <c r="B336" s="21"/>
      <c r="C336" s="58"/>
      <c r="D336" s="62"/>
      <c r="E336" s="62"/>
      <c r="F336" s="62"/>
    </row>
    <row r="337" spans="2:6" x14ac:dyDescent="0.2">
      <c r="B337" s="21"/>
      <c r="C337" s="58"/>
      <c r="D337" s="62"/>
      <c r="E337" s="62"/>
      <c r="F337" s="62"/>
    </row>
    <row r="338" spans="2:6" x14ac:dyDescent="0.2">
      <c r="B338" s="21"/>
      <c r="C338" s="58"/>
      <c r="D338" s="62"/>
      <c r="E338" s="62"/>
      <c r="F338" s="62"/>
    </row>
    <row r="339" spans="2:6" x14ac:dyDescent="0.2">
      <c r="B339" s="21"/>
      <c r="C339" s="58"/>
      <c r="D339" s="62"/>
      <c r="E339" s="62"/>
      <c r="F339" s="62"/>
    </row>
    <row r="340" spans="2:6" x14ac:dyDescent="0.2">
      <c r="B340" s="21"/>
      <c r="C340" s="58"/>
      <c r="D340" s="62"/>
      <c r="E340" s="62"/>
      <c r="F340" s="62"/>
    </row>
    <row r="341" spans="2:6" x14ac:dyDescent="0.2">
      <c r="B341" s="21"/>
      <c r="C341" s="58"/>
      <c r="D341" s="62"/>
      <c r="E341" s="62"/>
      <c r="F341" s="62"/>
    </row>
    <row r="342" spans="2:6" x14ac:dyDescent="0.2">
      <c r="B342" s="21"/>
      <c r="C342" s="58"/>
      <c r="D342" s="62"/>
      <c r="E342" s="62"/>
      <c r="F342" s="62"/>
    </row>
    <row r="343" spans="2:6" x14ac:dyDescent="0.2">
      <c r="B343" s="21"/>
      <c r="C343" s="58"/>
      <c r="D343" s="62"/>
      <c r="E343" s="62"/>
      <c r="F343" s="62"/>
    </row>
    <row r="344" spans="2:6" x14ac:dyDescent="0.2">
      <c r="B344" s="21"/>
      <c r="C344" s="58"/>
      <c r="D344" s="62"/>
      <c r="E344" s="62"/>
      <c r="F344" s="62"/>
    </row>
    <row r="345" spans="2:6" x14ac:dyDescent="0.2">
      <c r="B345" s="21"/>
      <c r="C345" s="58"/>
      <c r="D345" s="62"/>
      <c r="E345" s="62"/>
      <c r="F345" s="62"/>
    </row>
    <row r="346" spans="2:6" x14ac:dyDescent="0.2">
      <c r="B346" s="21"/>
      <c r="C346" s="58"/>
      <c r="D346" s="62"/>
      <c r="E346" s="62"/>
      <c r="F346" s="62"/>
    </row>
    <row r="347" spans="2:6" x14ac:dyDescent="0.2">
      <c r="B347" s="21"/>
      <c r="C347" s="58"/>
    </row>
    <row r="348" spans="2:6" x14ac:dyDescent="0.2">
      <c r="B348" s="21"/>
      <c r="C348" s="58"/>
    </row>
    <row r="349" spans="2:6" x14ac:dyDescent="0.2">
      <c r="B349" s="21"/>
      <c r="C349" s="58"/>
    </row>
    <row r="350" spans="2:6" x14ac:dyDescent="0.2">
      <c r="B350" s="21"/>
      <c r="C350" s="58"/>
    </row>
    <row r="351" spans="2:6" x14ac:dyDescent="0.2">
      <c r="B351" s="21"/>
      <c r="C351" s="58"/>
    </row>
    <row r="352" spans="2:6" x14ac:dyDescent="0.2">
      <c r="B352" s="21"/>
      <c r="C352" s="58"/>
    </row>
    <row r="353" spans="2:3" x14ac:dyDescent="0.2">
      <c r="B353" s="21"/>
      <c r="C353" s="58"/>
    </row>
    <row r="354" spans="2:3" x14ac:dyDescent="0.2">
      <c r="B354" s="21"/>
      <c r="C354" s="58"/>
    </row>
    <row r="355" spans="2:3" x14ac:dyDescent="0.2">
      <c r="B355" s="21"/>
      <c r="C355" s="58"/>
    </row>
    <row r="356" spans="2:3" x14ac:dyDescent="0.2">
      <c r="B356" s="21"/>
      <c r="C356" s="58"/>
    </row>
    <row r="357" spans="2:3" x14ac:dyDescent="0.2">
      <c r="B357" s="21"/>
      <c r="C357" s="58"/>
    </row>
    <row r="358" spans="2:3" x14ac:dyDescent="0.2">
      <c r="B358" s="21"/>
      <c r="C358" s="58"/>
    </row>
    <row r="359" spans="2:3" x14ac:dyDescent="0.2">
      <c r="B359" s="21"/>
      <c r="C359" s="58"/>
    </row>
    <row r="360" spans="2:3" x14ac:dyDescent="0.2">
      <c r="B360" s="21"/>
      <c r="C360" s="58"/>
    </row>
    <row r="361" spans="2:3" x14ac:dyDescent="0.2">
      <c r="B361" s="21"/>
      <c r="C361" s="58"/>
    </row>
    <row r="362" spans="2:3" x14ac:dyDescent="0.2">
      <c r="B362" s="21"/>
      <c r="C362" s="58"/>
    </row>
    <row r="363" spans="2:3" x14ac:dyDescent="0.2">
      <c r="B363" s="21"/>
      <c r="C363" s="58"/>
    </row>
    <row r="364" spans="2:3" x14ac:dyDescent="0.2">
      <c r="B364" s="21"/>
      <c r="C364" s="58"/>
    </row>
    <row r="365" spans="2:3" x14ac:dyDescent="0.2">
      <c r="B365" s="21"/>
      <c r="C365" s="58"/>
    </row>
    <row r="366" spans="2:3" x14ac:dyDescent="0.2">
      <c r="B366" s="21"/>
      <c r="C366" s="58"/>
    </row>
    <row r="367" spans="2:3" x14ac:dyDescent="0.2">
      <c r="B367" s="21"/>
      <c r="C367" s="58"/>
    </row>
    <row r="368" spans="2:3" x14ac:dyDescent="0.2">
      <c r="B368" s="21"/>
      <c r="C368" s="58"/>
    </row>
    <row r="369" spans="2:3" x14ac:dyDescent="0.2">
      <c r="B369" s="21"/>
      <c r="C369" s="58"/>
    </row>
    <row r="370" spans="2:3" x14ac:dyDescent="0.2">
      <c r="B370" s="21"/>
      <c r="C370" s="58"/>
    </row>
    <row r="371" spans="2:3" x14ac:dyDescent="0.2">
      <c r="B371" s="21"/>
      <c r="C371" s="58"/>
    </row>
    <row r="372" spans="2:3" x14ac:dyDescent="0.2">
      <c r="B372" s="21"/>
      <c r="C372" s="58"/>
    </row>
    <row r="373" spans="2:3" x14ac:dyDescent="0.2">
      <c r="B373" s="21"/>
      <c r="C373" s="58"/>
    </row>
    <row r="374" spans="2:3" x14ac:dyDescent="0.2">
      <c r="B374" s="21"/>
      <c r="C374" s="58"/>
    </row>
    <row r="375" spans="2:3" x14ac:dyDescent="0.2">
      <c r="B375" s="21"/>
      <c r="C375" s="58"/>
    </row>
    <row r="376" spans="2:3" x14ac:dyDescent="0.2">
      <c r="B376" s="21"/>
      <c r="C376" s="58"/>
    </row>
    <row r="377" spans="2:3" x14ac:dyDescent="0.2">
      <c r="B377" s="21"/>
      <c r="C377" s="58"/>
    </row>
    <row r="378" spans="2:3" x14ac:dyDescent="0.2">
      <c r="B378" s="21"/>
      <c r="C378" s="58"/>
    </row>
    <row r="379" spans="2:3" x14ac:dyDescent="0.2">
      <c r="B379" s="21"/>
      <c r="C379" s="58"/>
    </row>
    <row r="380" spans="2:3" x14ac:dyDescent="0.2">
      <c r="B380" s="21"/>
      <c r="C380" s="58"/>
    </row>
    <row r="381" spans="2:3" x14ac:dyDescent="0.2">
      <c r="B381" s="21"/>
      <c r="C381" s="58"/>
    </row>
    <row r="382" spans="2:3" x14ac:dyDescent="0.2">
      <c r="B382" s="21"/>
      <c r="C382" s="58"/>
    </row>
    <row r="383" spans="2:3" x14ac:dyDescent="0.2">
      <c r="B383" s="21"/>
      <c r="C383" s="58"/>
    </row>
    <row r="384" spans="2:3" x14ac:dyDescent="0.2">
      <c r="B384" s="21"/>
      <c r="C384" s="58"/>
    </row>
    <row r="385" spans="2:3" x14ac:dyDescent="0.2">
      <c r="B385" s="21"/>
      <c r="C385" s="58"/>
    </row>
    <row r="386" spans="2:3" x14ac:dyDescent="0.2">
      <c r="B386" s="21"/>
      <c r="C386" s="58"/>
    </row>
    <row r="387" spans="2:3" x14ac:dyDescent="0.2">
      <c r="B387" s="21"/>
      <c r="C387" s="58"/>
    </row>
    <row r="388" spans="2:3" x14ac:dyDescent="0.2">
      <c r="B388" s="21"/>
      <c r="C388" s="58"/>
    </row>
    <row r="389" spans="2:3" x14ac:dyDescent="0.2">
      <c r="B389" s="21"/>
      <c r="C389" s="58"/>
    </row>
    <row r="390" spans="2:3" x14ac:dyDescent="0.2">
      <c r="B390" s="21"/>
      <c r="C390" s="58"/>
    </row>
    <row r="391" spans="2:3" x14ac:dyDescent="0.2">
      <c r="B391" s="21"/>
      <c r="C391" s="58"/>
    </row>
    <row r="392" spans="2:3" x14ac:dyDescent="0.2">
      <c r="B392" s="21"/>
      <c r="C392" s="58"/>
    </row>
    <row r="393" spans="2:3" x14ac:dyDescent="0.2">
      <c r="B393" s="21"/>
      <c r="C393" s="58"/>
    </row>
    <row r="394" spans="2:3" x14ac:dyDescent="0.2">
      <c r="B394" s="21"/>
      <c r="C394" s="58"/>
    </row>
    <row r="395" spans="2:3" x14ac:dyDescent="0.2">
      <c r="B395" s="21"/>
      <c r="C395" s="58"/>
    </row>
    <row r="396" spans="2:3" x14ac:dyDescent="0.2">
      <c r="B396" s="21"/>
      <c r="C396" s="58"/>
    </row>
    <row r="397" spans="2:3" x14ac:dyDescent="0.2">
      <c r="B397" s="21"/>
      <c r="C397" s="58"/>
    </row>
    <row r="398" spans="2:3" x14ac:dyDescent="0.2">
      <c r="B398" s="21"/>
      <c r="C398" s="58"/>
    </row>
    <row r="399" spans="2:3" x14ac:dyDescent="0.2">
      <c r="B399" s="21"/>
      <c r="C399" s="58"/>
    </row>
    <row r="400" spans="2:3" x14ac:dyDescent="0.2">
      <c r="B400" s="21"/>
      <c r="C400" s="58"/>
    </row>
    <row r="401" spans="2:3" x14ac:dyDescent="0.2">
      <c r="B401" s="21"/>
      <c r="C401" s="58"/>
    </row>
    <row r="402" spans="2:3" x14ac:dyDescent="0.2">
      <c r="B402" s="21"/>
      <c r="C402" s="58"/>
    </row>
    <row r="403" spans="2:3" x14ac:dyDescent="0.2">
      <c r="B403" s="21"/>
      <c r="C403" s="58"/>
    </row>
    <row r="404" spans="2:3" x14ac:dyDescent="0.2">
      <c r="B404" s="21"/>
      <c r="C404" s="58"/>
    </row>
    <row r="405" spans="2:3" x14ac:dyDescent="0.2">
      <c r="B405" s="21"/>
      <c r="C405" s="58"/>
    </row>
    <row r="406" spans="2:3" x14ac:dyDescent="0.2">
      <c r="B406" s="21"/>
      <c r="C406" s="58"/>
    </row>
    <row r="407" spans="2:3" x14ac:dyDescent="0.2">
      <c r="B407" s="21"/>
      <c r="C407" s="58"/>
    </row>
    <row r="408" spans="2:3" x14ac:dyDescent="0.2">
      <c r="B408" s="21"/>
      <c r="C408" s="58"/>
    </row>
    <row r="409" spans="2:3" x14ac:dyDescent="0.2">
      <c r="B409" s="21"/>
      <c r="C409" s="58"/>
    </row>
    <row r="410" spans="2:3" x14ac:dyDescent="0.2">
      <c r="B410" s="21"/>
      <c r="C410" s="58"/>
    </row>
    <row r="411" spans="2:3" x14ac:dyDescent="0.2">
      <c r="B411" s="21"/>
      <c r="C411" s="58"/>
    </row>
    <row r="412" spans="2:3" x14ac:dyDescent="0.2">
      <c r="B412" s="21"/>
      <c r="C412" s="58"/>
    </row>
    <row r="413" spans="2:3" x14ac:dyDescent="0.2">
      <c r="B413" s="21"/>
      <c r="C413" s="58"/>
    </row>
    <row r="414" spans="2:3" x14ac:dyDescent="0.2">
      <c r="B414" s="21"/>
      <c r="C414" s="58"/>
    </row>
    <row r="415" spans="2:3" x14ac:dyDescent="0.2">
      <c r="B415" s="21"/>
      <c r="C415" s="58"/>
    </row>
    <row r="416" spans="2:3" x14ac:dyDescent="0.2">
      <c r="B416" s="21"/>
      <c r="C416" s="58"/>
    </row>
    <row r="417" spans="2:3" x14ac:dyDescent="0.2">
      <c r="B417" s="21"/>
      <c r="C417" s="58"/>
    </row>
    <row r="418" spans="2:3" x14ac:dyDescent="0.2">
      <c r="B418" s="21"/>
      <c r="C418" s="58"/>
    </row>
    <row r="419" spans="2:3" x14ac:dyDescent="0.2">
      <c r="B419" s="21"/>
      <c r="C419" s="58"/>
    </row>
    <row r="420" spans="2:3" x14ac:dyDescent="0.2">
      <c r="B420" s="21"/>
      <c r="C420" s="58"/>
    </row>
    <row r="421" spans="2:3" x14ac:dyDescent="0.2">
      <c r="B421" s="21"/>
      <c r="C421" s="58"/>
    </row>
    <row r="422" spans="2:3" x14ac:dyDescent="0.2">
      <c r="B422" s="21"/>
      <c r="C422" s="58"/>
    </row>
    <row r="423" spans="2:3" x14ac:dyDescent="0.2">
      <c r="B423" s="21"/>
      <c r="C423" s="58"/>
    </row>
    <row r="424" spans="2:3" x14ac:dyDescent="0.2">
      <c r="B424" s="21"/>
      <c r="C424" s="58"/>
    </row>
    <row r="425" spans="2:3" x14ac:dyDescent="0.2">
      <c r="B425" s="21"/>
      <c r="C425" s="58"/>
    </row>
    <row r="426" spans="2:3" x14ac:dyDescent="0.2">
      <c r="B426" s="21"/>
      <c r="C426" s="58"/>
    </row>
    <row r="427" spans="2:3" x14ac:dyDescent="0.2">
      <c r="B427" s="21"/>
      <c r="C427" s="58"/>
    </row>
    <row r="428" spans="2:3" x14ac:dyDescent="0.2">
      <c r="B428" s="21"/>
      <c r="C428" s="58"/>
    </row>
    <row r="429" spans="2:3" x14ac:dyDescent="0.2">
      <c r="B429" s="21"/>
      <c r="C429" s="58"/>
    </row>
    <row r="430" spans="2:3" x14ac:dyDescent="0.2">
      <c r="B430" s="21"/>
      <c r="C430" s="58"/>
    </row>
    <row r="431" spans="2:3" x14ac:dyDescent="0.2">
      <c r="B431" s="21"/>
      <c r="C431" s="58"/>
    </row>
    <row r="432" spans="2:3" x14ac:dyDescent="0.2">
      <c r="B432" s="21"/>
      <c r="C432" s="58"/>
    </row>
    <row r="433" spans="2:3" x14ac:dyDescent="0.2">
      <c r="B433" s="21"/>
      <c r="C433" s="58"/>
    </row>
    <row r="434" spans="2:3" x14ac:dyDescent="0.2">
      <c r="B434" s="21"/>
      <c r="C434" s="58"/>
    </row>
    <row r="435" spans="2:3" x14ac:dyDescent="0.2">
      <c r="B435" s="21"/>
      <c r="C435" s="58"/>
    </row>
    <row r="436" spans="2:3" x14ac:dyDescent="0.2">
      <c r="B436" s="21"/>
      <c r="C436" s="58"/>
    </row>
    <row r="437" spans="2:3" x14ac:dyDescent="0.2">
      <c r="B437" s="21"/>
      <c r="C437" s="58"/>
    </row>
    <row r="438" spans="2:3" x14ac:dyDescent="0.2">
      <c r="B438" s="21"/>
      <c r="C438" s="58"/>
    </row>
    <row r="439" spans="2:3" x14ac:dyDescent="0.2">
      <c r="B439" s="21"/>
      <c r="C439" s="58"/>
    </row>
    <row r="440" spans="2:3" x14ac:dyDescent="0.2">
      <c r="B440" s="21"/>
      <c r="C440" s="58"/>
    </row>
    <row r="441" spans="2:3" x14ac:dyDescent="0.2">
      <c r="B441" s="21"/>
      <c r="C441" s="58"/>
    </row>
    <row r="442" spans="2:3" x14ac:dyDescent="0.2">
      <c r="B442" s="21"/>
      <c r="C442" s="58"/>
    </row>
    <row r="443" spans="2:3" x14ac:dyDescent="0.2">
      <c r="B443" s="21"/>
      <c r="C443" s="58"/>
    </row>
    <row r="444" spans="2:3" x14ac:dyDescent="0.2">
      <c r="B444" s="21"/>
      <c r="C444" s="58"/>
    </row>
    <row r="445" spans="2:3" x14ac:dyDescent="0.2">
      <c r="B445" s="21"/>
      <c r="C445" s="58"/>
    </row>
    <row r="446" spans="2:3" x14ac:dyDescent="0.2">
      <c r="B446" s="21"/>
      <c r="C446" s="58"/>
    </row>
    <row r="447" spans="2:3" x14ac:dyDescent="0.2">
      <c r="B447" s="21"/>
      <c r="C447" s="58"/>
    </row>
    <row r="448" spans="2:3" x14ac:dyDescent="0.2">
      <c r="B448" s="21"/>
      <c r="C448" s="58"/>
    </row>
    <row r="449" spans="2:3" x14ac:dyDescent="0.2">
      <c r="B449" s="21"/>
      <c r="C449" s="58"/>
    </row>
    <row r="450" spans="2:3" x14ac:dyDescent="0.2">
      <c r="B450" s="21"/>
      <c r="C450" s="58"/>
    </row>
    <row r="451" spans="2:3" x14ac:dyDescent="0.2">
      <c r="B451" s="21"/>
      <c r="C451" s="58"/>
    </row>
    <row r="452" spans="2:3" x14ac:dyDescent="0.2">
      <c r="B452" s="21"/>
      <c r="C452" s="58"/>
    </row>
    <row r="453" spans="2:3" x14ac:dyDescent="0.2">
      <c r="B453" s="21"/>
      <c r="C453" s="58"/>
    </row>
    <row r="454" spans="2:3" x14ac:dyDescent="0.2">
      <c r="B454" s="21"/>
      <c r="C454" s="58"/>
    </row>
    <row r="455" spans="2:3" x14ac:dyDescent="0.2">
      <c r="B455" s="21"/>
      <c r="C455" s="58"/>
    </row>
    <row r="456" spans="2:3" x14ac:dyDescent="0.2">
      <c r="B456" s="21"/>
      <c r="C456" s="58"/>
    </row>
    <row r="457" spans="2:3" x14ac:dyDescent="0.2">
      <c r="B457" s="21"/>
      <c r="C457" s="58"/>
    </row>
    <row r="458" spans="2:3" x14ac:dyDescent="0.2">
      <c r="B458" s="21"/>
      <c r="C458" s="58"/>
    </row>
    <row r="459" spans="2:3" x14ac:dyDescent="0.2">
      <c r="B459" s="21"/>
      <c r="C459" s="58"/>
    </row>
    <row r="460" spans="2:3" x14ac:dyDescent="0.2">
      <c r="B460" s="21"/>
      <c r="C460" s="58"/>
    </row>
    <row r="461" spans="2:3" x14ac:dyDescent="0.2">
      <c r="B461" s="21"/>
      <c r="C461" s="58"/>
    </row>
    <row r="462" spans="2:3" x14ac:dyDescent="0.2">
      <c r="B462" s="21"/>
      <c r="C462" s="58"/>
    </row>
    <row r="463" spans="2:3" x14ac:dyDescent="0.2">
      <c r="B463" s="21"/>
      <c r="C463" s="58"/>
    </row>
    <row r="464" spans="2:3" x14ac:dyDescent="0.2">
      <c r="B464" s="21"/>
      <c r="C464" s="58"/>
    </row>
    <row r="465" spans="2:3" x14ac:dyDescent="0.2">
      <c r="B465" s="21"/>
      <c r="C465" s="58"/>
    </row>
    <row r="466" spans="2:3" x14ac:dyDescent="0.2">
      <c r="B466" s="21"/>
      <c r="C466" s="58"/>
    </row>
    <row r="467" spans="2:3" x14ac:dyDescent="0.2">
      <c r="B467" s="21"/>
      <c r="C467" s="58"/>
    </row>
    <row r="468" spans="2:3" x14ac:dyDescent="0.2">
      <c r="B468" s="21"/>
      <c r="C468" s="58"/>
    </row>
    <row r="469" spans="2:3" x14ac:dyDescent="0.2">
      <c r="B469" s="21"/>
      <c r="C469" s="58"/>
    </row>
    <row r="470" spans="2:3" x14ac:dyDescent="0.2">
      <c r="B470" s="21"/>
      <c r="C470" s="58"/>
    </row>
    <row r="471" spans="2:3" x14ac:dyDescent="0.2">
      <c r="B471" s="21"/>
      <c r="C471" s="58"/>
    </row>
    <row r="472" spans="2:3" x14ac:dyDescent="0.2">
      <c r="B472" s="21"/>
      <c r="C472" s="58"/>
    </row>
    <row r="473" spans="2:3" x14ac:dyDescent="0.2">
      <c r="B473" s="21"/>
      <c r="C473" s="58"/>
    </row>
    <row r="474" spans="2:3" x14ac:dyDescent="0.2">
      <c r="B474" s="21"/>
      <c r="C474" s="58"/>
    </row>
    <row r="475" spans="2:3" x14ac:dyDescent="0.2">
      <c r="B475" s="21"/>
      <c r="C475" s="58"/>
    </row>
    <row r="476" spans="2:3" x14ac:dyDescent="0.2">
      <c r="B476" s="21"/>
      <c r="C476" s="58"/>
    </row>
    <row r="477" spans="2:3" x14ac:dyDescent="0.2">
      <c r="B477" s="21"/>
      <c r="C477" s="58"/>
    </row>
    <row r="478" spans="2:3" x14ac:dyDescent="0.2">
      <c r="B478" s="21"/>
      <c r="C478" s="58"/>
    </row>
    <row r="479" spans="2:3" x14ac:dyDescent="0.2">
      <c r="B479" s="21"/>
      <c r="C479" s="58"/>
    </row>
    <row r="480" spans="2:3" x14ac:dyDescent="0.2">
      <c r="B480" s="21"/>
      <c r="C480" s="58"/>
    </row>
    <row r="481" spans="2:3" x14ac:dyDescent="0.2">
      <c r="B481" s="21"/>
      <c r="C481" s="58"/>
    </row>
    <row r="482" spans="2:3" x14ac:dyDescent="0.2">
      <c r="B482" s="21"/>
      <c r="C482" s="58"/>
    </row>
    <row r="483" spans="2:3" x14ac:dyDescent="0.2">
      <c r="B483" s="21"/>
      <c r="C483" s="58"/>
    </row>
    <row r="484" spans="2:3" x14ac:dyDescent="0.2">
      <c r="B484" s="21"/>
      <c r="C484" s="58"/>
    </row>
    <row r="485" spans="2:3" x14ac:dyDescent="0.2">
      <c r="B485" s="21"/>
      <c r="C485" s="58"/>
    </row>
    <row r="486" spans="2:3" x14ac:dyDescent="0.2">
      <c r="B486" s="21"/>
      <c r="C486" s="58"/>
    </row>
    <row r="487" spans="2:3" x14ac:dyDescent="0.2">
      <c r="B487" s="21"/>
      <c r="C487" s="58"/>
    </row>
    <row r="488" spans="2:3" x14ac:dyDescent="0.2">
      <c r="B488" s="21"/>
      <c r="C488" s="58"/>
    </row>
    <row r="489" spans="2:3" x14ac:dyDescent="0.2">
      <c r="B489" s="21"/>
      <c r="C489" s="58"/>
    </row>
    <row r="490" spans="2:3" x14ac:dyDescent="0.2">
      <c r="B490" s="21"/>
      <c r="C490" s="58"/>
    </row>
    <row r="491" spans="2:3" x14ac:dyDescent="0.2">
      <c r="B491" s="21"/>
      <c r="C491" s="58"/>
    </row>
    <row r="492" spans="2:3" x14ac:dyDescent="0.2">
      <c r="B492" s="21"/>
      <c r="C492" s="58"/>
    </row>
    <row r="493" spans="2:3" x14ac:dyDescent="0.2">
      <c r="B493" s="21"/>
      <c r="C493" s="58"/>
    </row>
    <row r="494" spans="2:3" x14ac:dyDescent="0.2">
      <c r="B494" s="21"/>
      <c r="C494" s="58"/>
    </row>
    <row r="495" spans="2:3" x14ac:dyDescent="0.2">
      <c r="B495" s="21"/>
      <c r="C495" s="58"/>
    </row>
    <row r="496" spans="2:3" x14ac:dyDescent="0.2">
      <c r="B496" s="21"/>
      <c r="C496" s="58"/>
    </row>
    <row r="497" spans="2:3" x14ac:dyDescent="0.2">
      <c r="B497" s="21"/>
      <c r="C497" s="58"/>
    </row>
    <row r="498" spans="2:3" x14ac:dyDescent="0.2">
      <c r="B498" s="21"/>
      <c r="C498" s="58"/>
    </row>
    <row r="499" spans="2:3" x14ac:dyDescent="0.2">
      <c r="B499" s="21"/>
      <c r="C499" s="58"/>
    </row>
    <row r="500" spans="2:3" x14ac:dyDescent="0.2">
      <c r="B500" s="21"/>
      <c r="C500" s="58"/>
    </row>
    <row r="501" spans="2:3" x14ac:dyDescent="0.2">
      <c r="B501" s="21"/>
      <c r="C501" s="58"/>
    </row>
    <row r="502" spans="2:3" x14ac:dyDescent="0.2">
      <c r="B502" s="21"/>
      <c r="C502" s="58"/>
    </row>
    <row r="503" spans="2:3" x14ac:dyDescent="0.2">
      <c r="B503" s="21"/>
      <c r="C503" s="58"/>
    </row>
    <row r="504" spans="2:3" x14ac:dyDescent="0.2">
      <c r="B504" s="21"/>
      <c r="C504" s="58"/>
    </row>
    <row r="505" spans="2:3" x14ac:dyDescent="0.2">
      <c r="B505" s="21"/>
      <c r="C505" s="58"/>
    </row>
    <row r="506" spans="2:3" x14ac:dyDescent="0.2">
      <c r="B506" s="21"/>
      <c r="C506" s="58"/>
    </row>
    <row r="507" spans="2:3" x14ac:dyDescent="0.2">
      <c r="B507" s="21"/>
      <c r="C507" s="58"/>
    </row>
    <row r="508" spans="2:3" x14ac:dyDescent="0.2">
      <c r="B508" s="21"/>
      <c r="C508" s="58"/>
    </row>
    <row r="509" spans="2:3" x14ac:dyDescent="0.2">
      <c r="B509" s="21"/>
      <c r="C509" s="58"/>
    </row>
    <row r="510" spans="2:3" x14ac:dyDescent="0.2">
      <c r="B510" s="21"/>
      <c r="C510" s="58"/>
    </row>
    <row r="511" spans="2:3" x14ac:dyDescent="0.2">
      <c r="B511" s="21"/>
      <c r="C511" s="58"/>
    </row>
    <row r="512" spans="2:3" x14ac:dyDescent="0.2">
      <c r="B512" s="21"/>
      <c r="C512" s="58"/>
    </row>
    <row r="513" spans="2:3" x14ac:dyDescent="0.2">
      <c r="B513" s="21"/>
      <c r="C513" s="58"/>
    </row>
    <row r="514" spans="2:3" x14ac:dyDescent="0.2">
      <c r="B514" s="21"/>
      <c r="C514" s="58"/>
    </row>
    <row r="515" spans="2:3" x14ac:dyDescent="0.2">
      <c r="B515" s="21"/>
      <c r="C515" s="58"/>
    </row>
    <row r="516" spans="2:3" x14ac:dyDescent="0.2">
      <c r="B516" s="21"/>
      <c r="C516" s="58"/>
    </row>
    <row r="517" spans="2:3" x14ac:dyDescent="0.2">
      <c r="B517" s="21"/>
      <c r="C517" s="58"/>
    </row>
    <row r="518" spans="2:3" x14ac:dyDescent="0.2">
      <c r="B518" s="21"/>
      <c r="C518" s="58"/>
    </row>
    <row r="519" spans="2:3" x14ac:dyDescent="0.2">
      <c r="B519" s="21"/>
      <c r="C519" s="58"/>
    </row>
    <row r="520" spans="2:3" x14ac:dyDescent="0.2">
      <c r="B520" s="21"/>
      <c r="C520" s="58"/>
    </row>
    <row r="521" spans="2:3" x14ac:dyDescent="0.2">
      <c r="B521" s="21"/>
      <c r="C521" s="58"/>
    </row>
    <row r="522" spans="2:3" x14ac:dyDescent="0.2">
      <c r="B522" s="21"/>
      <c r="C522" s="58"/>
    </row>
    <row r="523" spans="2:3" x14ac:dyDescent="0.2">
      <c r="B523" s="21"/>
      <c r="C523" s="58"/>
    </row>
    <row r="524" spans="2:3" x14ac:dyDescent="0.2">
      <c r="B524" s="21"/>
      <c r="C524" s="58"/>
    </row>
    <row r="525" spans="2:3" x14ac:dyDescent="0.2">
      <c r="B525" s="21"/>
      <c r="C525" s="58"/>
    </row>
    <row r="526" spans="2:3" x14ac:dyDescent="0.2">
      <c r="B526" s="21"/>
      <c r="C526" s="58"/>
    </row>
    <row r="527" spans="2:3" x14ac:dyDescent="0.2">
      <c r="B527" s="21"/>
      <c r="C527" s="58"/>
    </row>
    <row r="528" spans="2:3" x14ac:dyDescent="0.2">
      <c r="B528" s="21"/>
      <c r="C528" s="58"/>
    </row>
    <row r="529" spans="2:3" x14ac:dyDescent="0.2">
      <c r="B529" s="21"/>
      <c r="C529" s="58"/>
    </row>
    <row r="530" spans="2:3" x14ac:dyDescent="0.2">
      <c r="B530" s="21"/>
      <c r="C530" s="58"/>
    </row>
    <row r="531" spans="2:3" x14ac:dyDescent="0.2">
      <c r="B531" s="21"/>
      <c r="C531" s="58"/>
    </row>
    <row r="532" spans="2:3" x14ac:dyDescent="0.2">
      <c r="B532" s="21"/>
      <c r="C532" s="58"/>
    </row>
    <row r="533" spans="2:3" x14ac:dyDescent="0.2">
      <c r="B533" s="21"/>
      <c r="C533" s="58"/>
    </row>
    <row r="534" spans="2:3" x14ac:dyDescent="0.2">
      <c r="B534" s="21"/>
      <c r="C534" s="58"/>
    </row>
    <row r="535" spans="2:3" x14ac:dyDescent="0.2">
      <c r="B535" s="21"/>
      <c r="C535" s="58"/>
    </row>
    <row r="536" spans="2:3" x14ac:dyDescent="0.2">
      <c r="B536" s="21"/>
      <c r="C536" s="58"/>
    </row>
    <row r="537" spans="2:3" x14ac:dyDescent="0.2">
      <c r="B537" s="21"/>
      <c r="C537" s="58"/>
    </row>
    <row r="538" spans="2:3" x14ac:dyDescent="0.2">
      <c r="B538" s="21"/>
      <c r="C538" s="58"/>
    </row>
    <row r="539" spans="2:3" x14ac:dyDescent="0.2">
      <c r="B539" s="21"/>
      <c r="C539" s="58"/>
    </row>
    <row r="540" spans="2:3" x14ac:dyDescent="0.2">
      <c r="B540" s="21"/>
      <c r="C540" s="58"/>
    </row>
    <row r="541" spans="2:3" x14ac:dyDescent="0.2">
      <c r="B541" s="21"/>
      <c r="C541" s="58"/>
    </row>
    <row r="542" spans="2:3" x14ac:dyDescent="0.2">
      <c r="B542" s="21"/>
      <c r="C542" s="58"/>
    </row>
    <row r="543" spans="2:3" x14ac:dyDescent="0.2">
      <c r="B543" s="21"/>
      <c r="C543" s="58"/>
    </row>
    <row r="544" spans="2:3" x14ac:dyDescent="0.2">
      <c r="B544" s="21"/>
      <c r="C544" s="58"/>
    </row>
    <row r="545" spans="2:3" x14ac:dyDescent="0.2">
      <c r="B545" s="21"/>
      <c r="C545" s="58"/>
    </row>
    <row r="546" spans="2:3" x14ac:dyDescent="0.2">
      <c r="B546" s="21"/>
      <c r="C546" s="58"/>
    </row>
    <row r="547" spans="2:3" x14ac:dyDescent="0.2">
      <c r="B547" s="21"/>
      <c r="C547" s="58"/>
    </row>
    <row r="548" spans="2:3" x14ac:dyDescent="0.2">
      <c r="B548" s="21"/>
      <c r="C548" s="58"/>
    </row>
    <row r="549" spans="2:3" x14ac:dyDescent="0.2">
      <c r="B549" s="21"/>
      <c r="C549" s="58"/>
    </row>
    <row r="550" spans="2:3" x14ac:dyDescent="0.2">
      <c r="B550" s="21"/>
      <c r="C550" s="58"/>
    </row>
    <row r="551" spans="2:3" x14ac:dyDescent="0.2">
      <c r="B551" s="21"/>
      <c r="C551" s="58"/>
    </row>
    <row r="552" spans="2:3" x14ac:dyDescent="0.2">
      <c r="B552" s="21"/>
      <c r="C552" s="58"/>
    </row>
    <row r="553" spans="2:3" x14ac:dyDescent="0.2">
      <c r="B553" s="21"/>
      <c r="C553" s="58"/>
    </row>
    <row r="554" spans="2:3" x14ac:dyDescent="0.2">
      <c r="B554" s="21"/>
      <c r="C554" s="58"/>
    </row>
    <row r="555" spans="2:3" x14ac:dyDescent="0.2">
      <c r="B555" s="21"/>
      <c r="C555" s="58"/>
    </row>
    <row r="556" spans="2:3" x14ac:dyDescent="0.2">
      <c r="B556" s="21"/>
      <c r="C556" s="58"/>
    </row>
    <row r="557" spans="2:3" x14ac:dyDescent="0.2">
      <c r="B557" s="21"/>
      <c r="C557" s="58"/>
    </row>
    <row r="558" spans="2:3" x14ac:dyDescent="0.2">
      <c r="B558" s="21"/>
      <c r="C558" s="58"/>
    </row>
    <row r="559" spans="2:3" x14ac:dyDescent="0.2">
      <c r="B559" s="21"/>
      <c r="C559" s="58"/>
    </row>
    <row r="560" spans="2:3" x14ac:dyDescent="0.2">
      <c r="B560" s="21"/>
      <c r="C560" s="58"/>
    </row>
    <row r="561" spans="2:3" x14ac:dyDescent="0.2">
      <c r="B561" s="21"/>
      <c r="C561" s="58"/>
    </row>
    <row r="562" spans="2:3" x14ac:dyDescent="0.2">
      <c r="B562" s="21"/>
      <c r="C562" s="58"/>
    </row>
    <row r="563" spans="2:3" x14ac:dyDescent="0.2">
      <c r="B563" s="21"/>
      <c r="C563" s="58"/>
    </row>
    <row r="564" spans="2:3" x14ac:dyDescent="0.2">
      <c r="B564" s="21"/>
      <c r="C564" s="58"/>
    </row>
    <row r="565" spans="2:3" x14ac:dyDescent="0.2">
      <c r="B565" s="21"/>
      <c r="C565" s="58"/>
    </row>
    <row r="566" spans="2:3" x14ac:dyDescent="0.2">
      <c r="B566" s="21"/>
      <c r="C566" s="58"/>
    </row>
    <row r="567" spans="2:3" x14ac:dyDescent="0.2">
      <c r="B567" s="21"/>
      <c r="C567" s="58"/>
    </row>
    <row r="568" spans="2:3" x14ac:dyDescent="0.2">
      <c r="B568" s="21"/>
      <c r="C568" s="58"/>
    </row>
    <row r="569" spans="2:3" x14ac:dyDescent="0.2">
      <c r="B569" s="21"/>
      <c r="C569" s="58"/>
    </row>
    <row r="570" spans="2:3" x14ac:dyDescent="0.2">
      <c r="B570" s="21"/>
      <c r="C570" s="58"/>
    </row>
    <row r="571" spans="2:3" x14ac:dyDescent="0.2">
      <c r="B571" s="21"/>
      <c r="C571" s="58"/>
    </row>
    <row r="572" spans="2:3" x14ac:dyDescent="0.2">
      <c r="B572" s="21"/>
      <c r="C572" s="58"/>
    </row>
    <row r="573" spans="2:3" x14ac:dyDescent="0.2">
      <c r="B573" s="21"/>
      <c r="C573" s="58"/>
    </row>
    <row r="574" spans="2:3" x14ac:dyDescent="0.2">
      <c r="B574" s="21"/>
      <c r="C574" s="58"/>
    </row>
    <row r="575" spans="2:3" x14ac:dyDescent="0.2">
      <c r="B575" s="21"/>
      <c r="C575" s="58"/>
    </row>
    <row r="576" spans="2:3" x14ac:dyDescent="0.2">
      <c r="B576" s="21"/>
      <c r="C576" s="58"/>
    </row>
    <row r="577" spans="2:3" x14ac:dyDescent="0.2">
      <c r="B577" s="21"/>
      <c r="C577" s="58"/>
    </row>
    <row r="578" spans="2:3" x14ac:dyDescent="0.2">
      <c r="B578" s="21"/>
      <c r="C578" s="58"/>
    </row>
    <row r="579" spans="2:3" x14ac:dyDescent="0.2">
      <c r="B579" s="21"/>
      <c r="C579" s="58"/>
    </row>
    <row r="580" spans="2:3" x14ac:dyDescent="0.2">
      <c r="B580" s="21"/>
      <c r="C580" s="58"/>
    </row>
    <row r="581" spans="2:3" x14ac:dyDescent="0.2">
      <c r="B581" s="21"/>
      <c r="C581" s="58"/>
    </row>
    <row r="582" spans="2:3" x14ac:dyDescent="0.2">
      <c r="B582" s="21"/>
      <c r="C582" s="58"/>
    </row>
    <row r="583" spans="2:3" x14ac:dyDescent="0.2">
      <c r="B583" s="21"/>
      <c r="C583" s="58"/>
    </row>
    <row r="584" spans="2:3" x14ac:dyDescent="0.2">
      <c r="B584" s="21"/>
      <c r="C584" s="58"/>
    </row>
    <row r="585" spans="2:3" x14ac:dyDescent="0.2">
      <c r="B585" s="21"/>
      <c r="C585" s="58"/>
    </row>
    <row r="586" spans="2:3" x14ac:dyDescent="0.2">
      <c r="B586" s="21"/>
      <c r="C586" s="58"/>
    </row>
    <row r="587" spans="2:3" x14ac:dyDescent="0.2">
      <c r="B587" s="21"/>
      <c r="C587" s="58"/>
    </row>
    <row r="588" spans="2:3" x14ac:dyDescent="0.2">
      <c r="B588" s="21"/>
      <c r="C588" s="58"/>
    </row>
    <row r="589" spans="2:3" x14ac:dyDescent="0.2">
      <c r="B589" s="21"/>
      <c r="C589" s="58"/>
    </row>
    <row r="590" spans="2:3" x14ac:dyDescent="0.2">
      <c r="B590" s="21"/>
      <c r="C590" s="58"/>
    </row>
    <row r="591" spans="2:3" x14ac:dyDescent="0.2">
      <c r="B591" s="21"/>
      <c r="C591" s="58"/>
    </row>
    <row r="592" spans="2:3" x14ac:dyDescent="0.2">
      <c r="B592" s="21"/>
      <c r="C592" s="58"/>
    </row>
    <row r="593" spans="2:3" x14ac:dyDescent="0.2">
      <c r="B593" s="21"/>
      <c r="C593" s="58"/>
    </row>
    <row r="594" spans="2:3" x14ac:dyDescent="0.2">
      <c r="B594" s="21"/>
      <c r="C594" s="58"/>
    </row>
    <row r="595" spans="2:3" x14ac:dyDescent="0.2">
      <c r="B595" s="21"/>
      <c r="C595" s="58"/>
    </row>
    <row r="596" spans="2:3" x14ac:dyDescent="0.2">
      <c r="B596" s="21"/>
      <c r="C596" s="58"/>
    </row>
    <row r="597" spans="2:3" x14ac:dyDescent="0.2">
      <c r="B597" s="21"/>
      <c r="C597" s="58"/>
    </row>
    <row r="598" spans="2:3" x14ac:dyDescent="0.2">
      <c r="B598" s="21"/>
      <c r="C598" s="58"/>
    </row>
    <row r="599" spans="2:3" x14ac:dyDescent="0.2">
      <c r="B599" s="21"/>
      <c r="C599" s="58"/>
    </row>
    <row r="600" spans="2:3" x14ac:dyDescent="0.2">
      <c r="B600" s="21"/>
      <c r="C600" s="58"/>
    </row>
    <row r="601" spans="2:3" x14ac:dyDescent="0.2">
      <c r="B601" s="21"/>
      <c r="C601" s="58"/>
    </row>
    <row r="602" spans="2:3" x14ac:dyDescent="0.2">
      <c r="B602" s="21"/>
      <c r="C602" s="58"/>
    </row>
    <row r="603" spans="2:3" x14ac:dyDescent="0.2">
      <c r="B603" s="21"/>
      <c r="C603" s="58"/>
    </row>
    <row r="604" spans="2:3" x14ac:dyDescent="0.2">
      <c r="B604" s="21"/>
      <c r="C604" s="58"/>
    </row>
    <row r="605" spans="2:3" x14ac:dyDescent="0.2">
      <c r="B605" s="21"/>
      <c r="C605" s="58"/>
    </row>
    <row r="606" spans="2:3" x14ac:dyDescent="0.2">
      <c r="B606" s="21"/>
      <c r="C606" s="58"/>
    </row>
    <row r="607" spans="2:3" x14ac:dyDescent="0.2">
      <c r="B607" s="21"/>
      <c r="C607" s="58"/>
    </row>
    <row r="608" spans="2:3" x14ac:dyDescent="0.2">
      <c r="B608" s="21"/>
      <c r="C608" s="58"/>
    </row>
    <row r="609" spans="2:3" x14ac:dyDescent="0.2">
      <c r="B609" s="21"/>
      <c r="C609" s="58"/>
    </row>
    <row r="610" spans="2:3" x14ac:dyDescent="0.2">
      <c r="B610" s="21"/>
      <c r="C610" s="58"/>
    </row>
    <row r="611" spans="2:3" x14ac:dyDescent="0.2">
      <c r="B611" s="21"/>
      <c r="C611" s="58"/>
    </row>
    <row r="612" spans="2:3" x14ac:dyDescent="0.2">
      <c r="B612" s="21"/>
      <c r="C612" s="58"/>
    </row>
    <row r="613" spans="2:3" x14ac:dyDescent="0.2">
      <c r="B613" s="21"/>
      <c r="C613" s="58"/>
    </row>
    <row r="614" spans="2:3" x14ac:dyDescent="0.2">
      <c r="B614" s="21"/>
      <c r="C614" s="58"/>
    </row>
    <row r="615" spans="2:3" x14ac:dyDescent="0.2">
      <c r="B615" s="21"/>
      <c r="C615" s="58"/>
    </row>
    <row r="616" spans="2:3" x14ac:dyDescent="0.2">
      <c r="B616" s="21"/>
      <c r="C616" s="58"/>
    </row>
    <row r="617" spans="2:3" x14ac:dyDescent="0.2">
      <c r="B617" s="21"/>
      <c r="C617" s="58"/>
    </row>
    <row r="618" spans="2:3" x14ac:dyDescent="0.2">
      <c r="B618" s="21"/>
      <c r="C618" s="58"/>
    </row>
    <row r="619" spans="2:3" x14ac:dyDescent="0.2">
      <c r="B619" s="21"/>
      <c r="C619" s="58"/>
    </row>
    <row r="620" spans="2:3" x14ac:dyDescent="0.2">
      <c r="B620" s="21"/>
      <c r="C620" s="58"/>
    </row>
    <row r="621" spans="2:3" x14ac:dyDescent="0.2">
      <c r="B621" s="21"/>
      <c r="C621" s="58"/>
    </row>
    <row r="622" spans="2:3" x14ac:dyDescent="0.2">
      <c r="B622" s="21"/>
      <c r="C622" s="58"/>
    </row>
    <row r="623" spans="2:3" x14ac:dyDescent="0.2">
      <c r="B623" s="21"/>
      <c r="C623" s="58"/>
    </row>
    <row r="624" spans="2:3" x14ac:dyDescent="0.2">
      <c r="B624" s="21"/>
      <c r="C624" s="58"/>
    </row>
    <row r="625" spans="2:3" x14ac:dyDescent="0.2">
      <c r="B625" s="21"/>
      <c r="C625" s="58"/>
    </row>
    <row r="626" spans="2:3" x14ac:dyDescent="0.2">
      <c r="B626" s="21"/>
      <c r="C626" s="58"/>
    </row>
    <row r="627" spans="2:3" x14ac:dyDescent="0.2">
      <c r="B627" s="21"/>
      <c r="C627" s="58"/>
    </row>
    <row r="628" spans="2:3" x14ac:dyDescent="0.2">
      <c r="B628" s="21"/>
      <c r="C628" s="58"/>
    </row>
    <row r="629" spans="2:3" x14ac:dyDescent="0.2">
      <c r="B629" s="21"/>
      <c r="C629" s="58"/>
    </row>
    <row r="630" spans="2:3" x14ac:dyDescent="0.2">
      <c r="B630" s="21"/>
      <c r="C630" s="58"/>
    </row>
    <row r="631" spans="2:3" x14ac:dyDescent="0.2">
      <c r="B631" s="21"/>
      <c r="C631" s="58"/>
    </row>
    <row r="632" spans="2:3" x14ac:dyDescent="0.2">
      <c r="B632" s="21"/>
      <c r="C632" s="58"/>
    </row>
    <row r="633" spans="2:3" x14ac:dyDescent="0.2">
      <c r="B633" s="21"/>
      <c r="C633" s="58"/>
    </row>
    <row r="634" spans="2:3" x14ac:dyDescent="0.2">
      <c r="B634" s="21"/>
      <c r="C634" s="58"/>
    </row>
    <row r="635" spans="2:3" x14ac:dyDescent="0.2">
      <c r="B635" s="21"/>
      <c r="C635" s="58"/>
    </row>
    <row r="636" spans="2:3" x14ac:dyDescent="0.2">
      <c r="B636" s="21"/>
      <c r="C636" s="58"/>
    </row>
    <row r="637" spans="2:3" x14ac:dyDescent="0.2">
      <c r="B637" s="21"/>
      <c r="C637" s="58"/>
    </row>
    <row r="638" spans="2:3" x14ac:dyDescent="0.2">
      <c r="B638" s="21"/>
      <c r="C638" s="58"/>
    </row>
    <row r="639" spans="2:3" x14ac:dyDescent="0.2">
      <c r="B639" s="21"/>
      <c r="C639" s="58"/>
    </row>
    <row r="640" spans="2:3" x14ac:dyDescent="0.2">
      <c r="B640" s="21"/>
      <c r="C640" s="58"/>
    </row>
    <row r="641" spans="2:3" x14ac:dyDescent="0.2">
      <c r="B641" s="21"/>
      <c r="C641" s="58"/>
    </row>
    <row r="642" spans="2:3" x14ac:dyDescent="0.2">
      <c r="B642" s="21"/>
      <c r="C642" s="58"/>
    </row>
    <row r="643" spans="2:3" x14ac:dyDescent="0.2">
      <c r="B643" s="21"/>
      <c r="C643" s="58"/>
    </row>
    <row r="644" spans="2:3" x14ac:dyDescent="0.2">
      <c r="B644" s="21"/>
      <c r="C644" s="58"/>
    </row>
    <row r="645" spans="2:3" x14ac:dyDescent="0.2">
      <c r="B645" s="21"/>
      <c r="C645" s="58"/>
    </row>
    <row r="646" spans="2:3" x14ac:dyDescent="0.2">
      <c r="B646" s="21"/>
      <c r="C646" s="58"/>
    </row>
    <row r="647" spans="2:3" x14ac:dyDescent="0.2">
      <c r="B647" s="21"/>
      <c r="C647" s="58"/>
    </row>
    <row r="648" spans="2:3" x14ac:dyDescent="0.2">
      <c r="B648" s="21"/>
      <c r="C648" s="58"/>
    </row>
    <row r="649" spans="2:3" x14ac:dyDescent="0.2">
      <c r="B649" s="21"/>
      <c r="C649" s="58"/>
    </row>
    <row r="650" spans="2:3" x14ac:dyDescent="0.2">
      <c r="B650" s="21"/>
      <c r="C650" s="58"/>
    </row>
    <row r="651" spans="2:3" x14ac:dyDescent="0.2">
      <c r="B651" s="21"/>
      <c r="C651" s="58"/>
    </row>
    <row r="652" spans="2:3" x14ac:dyDescent="0.2">
      <c r="B652" s="21"/>
      <c r="C652" s="58"/>
    </row>
    <row r="653" spans="2:3" x14ac:dyDescent="0.2">
      <c r="B653" s="21"/>
      <c r="C653" s="58"/>
    </row>
    <row r="654" spans="2:3" x14ac:dyDescent="0.2">
      <c r="B654" s="21"/>
      <c r="C654" s="58"/>
    </row>
    <row r="655" spans="2:3" x14ac:dyDescent="0.2">
      <c r="B655" s="21"/>
      <c r="C655" s="58"/>
    </row>
    <row r="656" spans="2:3" x14ac:dyDescent="0.2">
      <c r="B656" s="21"/>
      <c r="C656" s="58"/>
    </row>
    <row r="657" spans="2:3" x14ac:dyDescent="0.2">
      <c r="B657" s="21"/>
      <c r="C657" s="58"/>
    </row>
    <row r="658" spans="2:3" x14ac:dyDescent="0.2">
      <c r="B658" s="21"/>
      <c r="C658" s="58"/>
    </row>
    <row r="659" spans="2:3" x14ac:dyDescent="0.2">
      <c r="B659" s="21"/>
      <c r="C659" s="58"/>
    </row>
    <row r="660" spans="2:3" x14ac:dyDescent="0.2">
      <c r="B660" s="21"/>
      <c r="C660" s="58"/>
    </row>
    <row r="661" spans="2:3" x14ac:dyDescent="0.2">
      <c r="B661" s="21"/>
      <c r="C661" s="58"/>
    </row>
    <row r="662" spans="2:3" x14ac:dyDescent="0.2">
      <c r="B662" s="21"/>
      <c r="C662" s="58"/>
    </row>
    <row r="663" spans="2:3" x14ac:dyDescent="0.2">
      <c r="B663" s="21"/>
      <c r="C663" s="58"/>
    </row>
    <row r="664" spans="2:3" x14ac:dyDescent="0.2">
      <c r="B664" s="21"/>
      <c r="C664" s="58"/>
    </row>
    <row r="665" spans="2:3" x14ac:dyDescent="0.2">
      <c r="B665" s="21"/>
      <c r="C665" s="58"/>
    </row>
    <row r="666" spans="2:3" x14ac:dyDescent="0.2">
      <c r="B666" s="21"/>
      <c r="C666" s="58"/>
    </row>
    <row r="667" spans="2:3" x14ac:dyDescent="0.2">
      <c r="B667" s="21"/>
      <c r="C667" s="58"/>
    </row>
    <row r="668" spans="2:3" x14ac:dyDescent="0.2">
      <c r="B668" s="21"/>
      <c r="C668" s="58"/>
    </row>
    <row r="669" spans="2:3" x14ac:dyDescent="0.2">
      <c r="B669" s="21"/>
      <c r="C669" s="58"/>
    </row>
    <row r="670" spans="2:3" x14ac:dyDescent="0.2">
      <c r="B670" s="21"/>
      <c r="C670" s="58"/>
    </row>
    <row r="671" spans="2:3" x14ac:dyDescent="0.2">
      <c r="B671" s="21"/>
      <c r="C671" s="58"/>
    </row>
    <row r="672" spans="2:3" x14ac:dyDescent="0.2">
      <c r="B672" s="21"/>
      <c r="C672" s="58"/>
    </row>
    <row r="673" spans="2:3" x14ac:dyDescent="0.2">
      <c r="B673" s="21"/>
      <c r="C673" s="58"/>
    </row>
    <row r="674" spans="2:3" x14ac:dyDescent="0.2">
      <c r="B674" s="21"/>
      <c r="C674" s="58"/>
    </row>
    <row r="675" spans="2:3" x14ac:dyDescent="0.2">
      <c r="B675" s="21"/>
      <c r="C675" s="58"/>
    </row>
    <row r="676" spans="2:3" x14ac:dyDescent="0.2">
      <c r="B676" s="21"/>
      <c r="C676" s="58"/>
    </row>
    <row r="677" spans="2:3" x14ac:dyDescent="0.2">
      <c r="B677" s="21"/>
      <c r="C677" s="58"/>
    </row>
    <row r="678" spans="2:3" x14ac:dyDescent="0.2">
      <c r="B678" s="21"/>
      <c r="C678" s="58"/>
    </row>
    <row r="679" spans="2:3" x14ac:dyDescent="0.2">
      <c r="B679" s="21"/>
      <c r="C679" s="58"/>
    </row>
    <row r="680" spans="2:3" x14ac:dyDescent="0.2">
      <c r="B680" s="21"/>
      <c r="C680" s="58"/>
    </row>
    <row r="681" spans="2:3" x14ac:dyDescent="0.2">
      <c r="B681" s="21"/>
      <c r="C681" s="58"/>
    </row>
    <row r="682" spans="2:3" x14ac:dyDescent="0.2">
      <c r="B682" s="21"/>
      <c r="C682" s="58"/>
    </row>
    <row r="683" spans="2:3" x14ac:dyDescent="0.2">
      <c r="B683" s="21"/>
      <c r="C683" s="58"/>
    </row>
    <row r="684" spans="2:3" x14ac:dyDescent="0.2">
      <c r="B684" s="21"/>
      <c r="C684" s="58"/>
    </row>
    <row r="685" spans="2:3" x14ac:dyDescent="0.2">
      <c r="B685" s="21"/>
      <c r="C685" s="58"/>
    </row>
    <row r="686" spans="2:3" x14ac:dyDescent="0.2">
      <c r="B686" s="21"/>
      <c r="C686" s="58"/>
    </row>
    <row r="687" spans="2:3" x14ac:dyDescent="0.2">
      <c r="B687" s="21"/>
      <c r="C687" s="58"/>
    </row>
    <row r="688" spans="2:3" x14ac:dyDescent="0.2">
      <c r="B688" s="21"/>
      <c r="C688" s="58"/>
    </row>
    <row r="689" spans="2:3" x14ac:dyDescent="0.2">
      <c r="B689" s="21"/>
      <c r="C689" s="58"/>
    </row>
    <row r="690" spans="2:3" x14ac:dyDescent="0.2">
      <c r="B690" s="21"/>
      <c r="C690" s="58"/>
    </row>
    <row r="691" spans="2:3" x14ac:dyDescent="0.2">
      <c r="B691" s="21"/>
      <c r="C691" s="58"/>
    </row>
    <row r="692" spans="2:3" x14ac:dyDescent="0.2">
      <c r="B692" s="21"/>
      <c r="C692" s="58"/>
    </row>
    <row r="693" spans="2:3" x14ac:dyDescent="0.2">
      <c r="B693" s="21"/>
      <c r="C693" s="58"/>
    </row>
    <row r="694" spans="2:3" x14ac:dyDescent="0.2">
      <c r="B694" s="21"/>
      <c r="C694" s="58"/>
    </row>
    <row r="695" spans="2:3" x14ac:dyDescent="0.2">
      <c r="B695" s="21"/>
      <c r="C695" s="58"/>
    </row>
    <row r="696" spans="2:3" x14ac:dyDescent="0.2">
      <c r="B696" s="21"/>
      <c r="C696" s="58"/>
    </row>
    <row r="697" spans="2:3" x14ac:dyDescent="0.2">
      <c r="B697" s="21"/>
      <c r="C697" s="58"/>
    </row>
    <row r="698" spans="2:3" x14ac:dyDescent="0.2">
      <c r="B698" s="21"/>
      <c r="C698" s="58"/>
    </row>
    <row r="699" spans="2:3" x14ac:dyDescent="0.2">
      <c r="B699" s="21"/>
      <c r="C699" s="58"/>
    </row>
    <row r="700" spans="2:3" x14ac:dyDescent="0.2">
      <c r="B700" s="21"/>
      <c r="C700" s="58"/>
    </row>
    <row r="701" spans="2:3" x14ac:dyDescent="0.2">
      <c r="B701" s="21"/>
      <c r="C701" s="58"/>
    </row>
    <row r="702" spans="2:3" x14ac:dyDescent="0.2">
      <c r="B702" s="21"/>
      <c r="C702" s="58"/>
    </row>
    <row r="703" spans="2:3" x14ac:dyDescent="0.2">
      <c r="B703" s="21"/>
      <c r="C703" s="58"/>
    </row>
    <row r="704" spans="2:3" x14ac:dyDescent="0.2">
      <c r="B704" s="21"/>
      <c r="C704" s="58"/>
    </row>
    <row r="705" spans="2:3" x14ac:dyDescent="0.2">
      <c r="B705" s="21"/>
      <c r="C705" s="58"/>
    </row>
    <row r="706" spans="2:3" x14ac:dyDescent="0.2">
      <c r="B706" s="21"/>
      <c r="C706" s="58"/>
    </row>
    <row r="707" spans="2:3" x14ac:dyDescent="0.2">
      <c r="B707" s="21"/>
      <c r="C707" s="58"/>
    </row>
    <row r="708" spans="2:3" x14ac:dyDescent="0.2">
      <c r="B708" s="21"/>
      <c r="C708" s="58"/>
    </row>
    <row r="709" spans="2:3" x14ac:dyDescent="0.2">
      <c r="B709" s="21"/>
      <c r="C709" s="58"/>
    </row>
    <row r="710" spans="2:3" x14ac:dyDescent="0.2">
      <c r="B710" s="21"/>
      <c r="C710" s="58"/>
    </row>
    <row r="711" spans="2:3" x14ac:dyDescent="0.2">
      <c r="B711" s="21"/>
      <c r="C711" s="58"/>
    </row>
    <row r="712" spans="2:3" x14ac:dyDescent="0.2">
      <c r="B712" s="21"/>
      <c r="C712" s="58"/>
    </row>
    <row r="713" spans="2:3" x14ac:dyDescent="0.2">
      <c r="B713" s="21"/>
      <c r="C713" s="58"/>
    </row>
    <row r="714" spans="2:3" x14ac:dyDescent="0.2">
      <c r="B714" s="21"/>
      <c r="C714" s="58"/>
    </row>
    <row r="715" spans="2:3" x14ac:dyDescent="0.2">
      <c r="B715" s="21"/>
      <c r="C715" s="58"/>
    </row>
    <row r="716" spans="2:3" x14ac:dyDescent="0.2">
      <c r="B716" s="21"/>
      <c r="C716" s="58"/>
    </row>
    <row r="717" spans="2:3" x14ac:dyDescent="0.2">
      <c r="B717" s="21"/>
      <c r="C717" s="58"/>
    </row>
    <row r="718" spans="2:3" x14ac:dyDescent="0.2">
      <c r="B718" s="21"/>
      <c r="C718" s="58"/>
    </row>
    <row r="719" spans="2:3" x14ac:dyDescent="0.2">
      <c r="B719" s="21"/>
      <c r="C719" s="58"/>
    </row>
    <row r="720" spans="2:3" x14ac:dyDescent="0.2">
      <c r="B720" s="21"/>
      <c r="C720" s="58"/>
    </row>
    <row r="721" spans="2:3" x14ac:dyDescent="0.2">
      <c r="B721" s="21"/>
      <c r="C721" s="58"/>
    </row>
    <row r="722" spans="2:3" x14ac:dyDescent="0.2">
      <c r="B722" s="21"/>
      <c r="C722" s="58"/>
    </row>
    <row r="723" spans="2:3" x14ac:dyDescent="0.2">
      <c r="B723" s="21"/>
      <c r="C723" s="58"/>
    </row>
    <row r="724" spans="2:3" x14ac:dyDescent="0.2">
      <c r="B724" s="21"/>
      <c r="C724" s="58"/>
    </row>
    <row r="725" spans="2:3" x14ac:dyDescent="0.2">
      <c r="B725" s="21"/>
      <c r="C725" s="58"/>
    </row>
    <row r="726" spans="2:3" x14ac:dyDescent="0.2">
      <c r="B726" s="21"/>
      <c r="C726" s="58"/>
    </row>
    <row r="727" spans="2:3" x14ac:dyDescent="0.2">
      <c r="B727" s="21"/>
    </row>
    <row r="728" spans="2:3" x14ac:dyDescent="0.2">
      <c r="B728" s="21"/>
    </row>
    <row r="729" spans="2:3" x14ac:dyDescent="0.2">
      <c r="B729" s="21"/>
    </row>
    <row r="730" spans="2:3" x14ac:dyDescent="0.2">
      <c r="B730" s="21"/>
    </row>
    <row r="731" spans="2:3" x14ac:dyDescent="0.2">
      <c r="B731" s="21"/>
    </row>
    <row r="732" spans="2:3" x14ac:dyDescent="0.2">
      <c r="B732" s="21"/>
    </row>
    <row r="733" spans="2:3" x14ac:dyDescent="0.2">
      <c r="B733" s="21"/>
    </row>
    <row r="734" spans="2:3" x14ac:dyDescent="0.2">
      <c r="B734" s="21"/>
    </row>
    <row r="735" spans="2:3" x14ac:dyDescent="0.2">
      <c r="B735" s="21"/>
    </row>
    <row r="736" spans="2:3" x14ac:dyDescent="0.2">
      <c r="B736" s="21"/>
    </row>
    <row r="737" spans="2:2" x14ac:dyDescent="0.2">
      <c r="B737" s="21"/>
    </row>
    <row r="738" spans="2:2" x14ac:dyDescent="0.2">
      <c r="B738" s="21"/>
    </row>
    <row r="739" spans="2:2" x14ac:dyDescent="0.2">
      <c r="B739" s="21"/>
    </row>
    <row r="740" spans="2:2" x14ac:dyDescent="0.2">
      <c r="B740" s="21"/>
    </row>
  </sheetData>
  <sheetProtection algorithmName="SHA-512" hashValue="0UcPHaamIb67uBD3W0ZI8keUDbYaXn2r7D04CXZWlvsQpa/EpwVT10sgsS/vyAkS16oNVzrwjcfdBXceLlHhYg==" saltValue="6sYblltBhkwP4UbSQSgPqQ==" spinCount="100000" sheet="1" objects="1" scenarios="1"/>
  <mergeCells count="21">
    <mergeCell ref="B312:C312"/>
    <mergeCell ref="A10:C10"/>
    <mergeCell ref="A11:C11"/>
    <mergeCell ref="A12:C12"/>
    <mergeCell ref="A13:C13"/>
    <mergeCell ref="A14:B14"/>
    <mergeCell ref="A15:A16"/>
    <mergeCell ref="B15:B16"/>
    <mergeCell ref="C15:C16"/>
    <mergeCell ref="B306:C306"/>
    <mergeCell ref="B307:C307"/>
    <mergeCell ref="B308:C308"/>
    <mergeCell ref="B309:C309"/>
    <mergeCell ref="B311:C311"/>
    <mergeCell ref="B313:C313"/>
    <mergeCell ref="B318:B319"/>
    <mergeCell ref="F318:G319"/>
    <mergeCell ref="C319:C320"/>
    <mergeCell ref="D319:D320"/>
    <mergeCell ref="E319:E320"/>
    <mergeCell ref="C318:E318"/>
  </mergeCells>
  <pageMargins left="0.28000000000000003" right="0.46" top="0.52" bottom="0.98425196850393704" header="0" footer="0"/>
  <pageSetup paperSize="9" scale="4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zoomScaleNormal="100" workbookViewId="0">
      <selection activeCell="G3" sqref="G3"/>
    </sheetView>
  </sheetViews>
  <sheetFormatPr baseColWidth="10" defaultColWidth="15.6640625" defaultRowHeight="10.199999999999999" x14ac:dyDescent="0.2"/>
  <cols>
    <col min="1" max="1" width="12.6640625" style="135" customWidth="1"/>
    <col min="2" max="2" width="19.33203125" style="153" customWidth="1"/>
    <col min="3" max="3" width="13.5546875" style="135" customWidth="1"/>
    <col min="4" max="7" width="12.6640625" style="135" customWidth="1"/>
    <col min="8" max="16384" width="15.6640625" style="135"/>
  </cols>
  <sheetData>
    <row r="1" spans="1:9" x14ac:dyDescent="0.2">
      <c r="A1" s="132" t="s">
        <v>0</v>
      </c>
      <c r="B1" s="133"/>
      <c r="C1" s="134">
        <f>Primarios!M1</f>
        <v>0</v>
      </c>
    </row>
    <row r="2" spans="1:9" ht="20.399999999999999" x14ac:dyDescent="0.2">
      <c r="A2" s="156" t="s">
        <v>1</v>
      </c>
      <c r="B2" s="133"/>
      <c r="C2" s="134">
        <f>Primarios!M2</f>
        <v>0</v>
      </c>
      <c r="F2" s="136"/>
      <c r="G2" s="155" t="s">
        <v>112</v>
      </c>
    </row>
    <row r="3" spans="1:9" x14ac:dyDescent="0.2">
      <c r="A3" s="132" t="s">
        <v>2</v>
      </c>
      <c r="B3" s="133"/>
      <c r="C3" s="134">
        <f>Primarios!M3</f>
        <v>0</v>
      </c>
      <c r="F3" s="137"/>
      <c r="G3" s="135" t="s">
        <v>111</v>
      </c>
    </row>
    <row r="4" spans="1:9" x14ac:dyDescent="0.2">
      <c r="A4" s="132" t="s">
        <v>6</v>
      </c>
      <c r="B4" s="133"/>
      <c r="C4" s="134">
        <f>Primarios!M4</f>
        <v>0</v>
      </c>
    </row>
    <row r="5" spans="1:9" x14ac:dyDescent="0.2">
      <c r="A5" s="138"/>
      <c r="B5" s="139"/>
      <c r="C5" s="134" t="str">
        <f>Primarios!M5</f>
        <v>Posición 1</v>
      </c>
    </row>
    <row r="6" spans="1:9" ht="10.8" thickBot="1" x14ac:dyDescent="0.25">
      <c r="A6" s="140" t="s">
        <v>3</v>
      </c>
      <c r="B6" s="141" t="s">
        <v>8</v>
      </c>
      <c r="C6" s="157" t="str">
        <f>Primarios!S6</f>
        <v>Humedad (% RH)</v>
      </c>
    </row>
    <row r="7" spans="1:9" ht="14.4" x14ac:dyDescent="0.3">
      <c r="A7" s="143">
        <v>1</v>
      </c>
      <c r="B7" s="144"/>
      <c r="C7" s="161"/>
      <c r="D7" s="146"/>
      <c r="E7" s="147"/>
      <c r="G7" s="148"/>
    </row>
    <row r="8" spans="1:9" ht="14.4" x14ac:dyDescent="0.3">
      <c r="A8" s="143">
        <v>2</v>
      </c>
      <c r="B8" s="144"/>
      <c r="C8" s="161"/>
      <c r="D8" s="146"/>
      <c r="E8" s="147"/>
      <c r="G8" s="148"/>
      <c r="H8" s="149"/>
      <c r="I8" s="150"/>
    </row>
    <row r="9" spans="1:9" ht="14.4" x14ac:dyDescent="0.3">
      <c r="A9" s="143">
        <v>3</v>
      </c>
      <c r="B9" s="144"/>
      <c r="C9" s="161"/>
      <c r="D9" s="146"/>
      <c r="E9" s="147"/>
      <c r="G9" s="148"/>
      <c r="H9" s="149"/>
      <c r="I9" s="150"/>
    </row>
    <row r="10" spans="1:9" ht="14.4" x14ac:dyDescent="0.3">
      <c r="A10" s="143">
        <v>4</v>
      </c>
      <c r="B10" s="144"/>
      <c r="C10" s="161"/>
      <c r="D10" s="146"/>
      <c r="E10" s="147"/>
      <c r="G10" s="148"/>
      <c r="H10" s="149"/>
      <c r="I10" s="150"/>
    </row>
    <row r="11" spans="1:9" ht="14.4" x14ac:dyDescent="0.3">
      <c r="A11" s="143">
        <v>5</v>
      </c>
      <c r="B11" s="144"/>
      <c r="C11" s="161"/>
      <c r="D11" s="146"/>
      <c r="E11" s="147"/>
      <c r="G11" s="148"/>
      <c r="H11" s="149"/>
      <c r="I11" s="150"/>
    </row>
    <row r="12" spans="1:9" ht="14.4" x14ac:dyDescent="0.3">
      <c r="A12" s="143">
        <v>6</v>
      </c>
      <c r="B12" s="144"/>
      <c r="C12" s="161"/>
      <c r="D12" s="146"/>
      <c r="E12" s="147"/>
      <c r="G12" s="148"/>
      <c r="H12" s="149"/>
      <c r="I12" s="150"/>
    </row>
    <row r="13" spans="1:9" ht="14.4" x14ac:dyDescent="0.3">
      <c r="A13" s="143">
        <v>7</v>
      </c>
      <c r="B13" s="144"/>
      <c r="C13" s="161"/>
      <c r="D13" s="146"/>
      <c r="E13" s="147"/>
      <c r="G13" s="148"/>
      <c r="H13" s="149"/>
      <c r="I13" s="150"/>
    </row>
    <row r="14" spans="1:9" ht="14.4" x14ac:dyDescent="0.3">
      <c r="A14" s="143">
        <v>8</v>
      </c>
      <c r="B14" s="144"/>
      <c r="C14" s="161"/>
      <c r="D14" s="146"/>
      <c r="E14" s="147"/>
      <c r="G14" s="148"/>
      <c r="H14" s="149"/>
      <c r="I14" s="150"/>
    </row>
    <row r="15" spans="1:9" ht="14.4" x14ac:dyDescent="0.3">
      <c r="A15" s="143">
        <v>9</v>
      </c>
      <c r="B15" s="144"/>
      <c r="C15" s="161"/>
      <c r="D15" s="146"/>
      <c r="E15" s="147"/>
      <c r="G15" s="148"/>
      <c r="H15" s="149"/>
      <c r="I15" s="150"/>
    </row>
    <row r="16" spans="1:9" ht="14.4" x14ac:dyDescent="0.3">
      <c r="A16" s="143">
        <v>10</v>
      </c>
      <c r="B16" s="144"/>
      <c r="C16" s="161"/>
      <c r="D16" s="146"/>
      <c r="E16" s="147"/>
      <c r="G16" s="148"/>
      <c r="H16" s="149"/>
      <c r="I16" s="150"/>
    </row>
    <row r="17" spans="1:9" ht="14.4" x14ac:dyDescent="0.3">
      <c r="A17" s="143">
        <v>11</v>
      </c>
      <c r="B17" s="144"/>
      <c r="C17" s="161"/>
      <c r="D17" s="146"/>
      <c r="E17" s="147"/>
      <c r="G17" s="148"/>
      <c r="H17" s="149"/>
      <c r="I17" s="150"/>
    </row>
    <row r="18" spans="1:9" ht="14.4" x14ac:dyDescent="0.3">
      <c r="A18" s="143">
        <v>12</v>
      </c>
      <c r="B18" s="144"/>
      <c r="C18" s="161"/>
      <c r="D18" s="146"/>
      <c r="E18" s="147"/>
      <c r="G18" s="148"/>
      <c r="H18" s="149"/>
      <c r="I18" s="150"/>
    </row>
    <row r="19" spans="1:9" ht="14.4" x14ac:dyDescent="0.3">
      <c r="A19" s="143">
        <v>13</v>
      </c>
      <c r="B19" s="144"/>
      <c r="C19" s="161"/>
      <c r="D19" s="146"/>
      <c r="E19" s="147"/>
      <c r="G19" s="148"/>
      <c r="H19" s="149"/>
      <c r="I19" s="150"/>
    </row>
    <row r="20" spans="1:9" ht="14.4" x14ac:dyDescent="0.3">
      <c r="A20" s="143">
        <v>14</v>
      </c>
      <c r="B20" s="144"/>
      <c r="C20" s="161"/>
      <c r="D20" s="146"/>
      <c r="E20" s="147"/>
      <c r="G20" s="148"/>
      <c r="H20" s="149"/>
      <c r="I20" s="150"/>
    </row>
    <row r="21" spans="1:9" ht="14.4" x14ac:dyDescent="0.3">
      <c r="A21" s="143">
        <v>15</v>
      </c>
      <c r="B21" s="144"/>
      <c r="C21" s="161"/>
      <c r="D21" s="146"/>
      <c r="E21" s="147"/>
      <c r="G21" s="148"/>
      <c r="H21" s="149"/>
      <c r="I21" s="150"/>
    </row>
    <row r="22" spans="1:9" ht="14.4" x14ac:dyDescent="0.3">
      <c r="A22" s="143">
        <v>16</v>
      </c>
      <c r="B22" s="144"/>
      <c r="C22" s="161"/>
      <c r="D22" s="146"/>
      <c r="E22" s="147"/>
      <c r="G22" s="148"/>
      <c r="H22" s="149"/>
      <c r="I22" s="150"/>
    </row>
    <row r="23" spans="1:9" ht="14.4" x14ac:dyDescent="0.3">
      <c r="A23" s="143">
        <v>17</v>
      </c>
      <c r="B23" s="144"/>
      <c r="C23" s="161"/>
      <c r="D23" s="146"/>
      <c r="E23" s="147"/>
      <c r="G23" s="148"/>
      <c r="H23" s="149"/>
      <c r="I23" s="150"/>
    </row>
    <row r="24" spans="1:9" ht="14.4" x14ac:dyDescent="0.3">
      <c r="A24" s="143">
        <v>18</v>
      </c>
      <c r="B24" s="144"/>
      <c r="C24" s="161"/>
      <c r="D24" s="146"/>
      <c r="E24" s="147"/>
      <c r="G24" s="148"/>
    </row>
    <row r="25" spans="1:9" ht="14.4" x14ac:dyDescent="0.3">
      <c r="A25" s="143">
        <v>19</v>
      </c>
      <c r="B25" s="144"/>
      <c r="C25" s="161"/>
      <c r="D25" s="146"/>
      <c r="E25" s="147"/>
      <c r="G25" s="148"/>
    </row>
    <row r="26" spans="1:9" ht="14.4" x14ac:dyDescent="0.3">
      <c r="A26" s="143">
        <v>20</v>
      </c>
      <c r="B26" s="144"/>
      <c r="C26" s="161"/>
      <c r="D26" s="146"/>
      <c r="E26" s="147"/>
      <c r="G26" s="148"/>
    </row>
    <row r="27" spans="1:9" ht="14.4" x14ac:dyDescent="0.3">
      <c r="A27" s="143">
        <v>21</v>
      </c>
      <c r="B27" s="144"/>
      <c r="C27" s="161"/>
      <c r="D27" s="146"/>
      <c r="E27" s="147"/>
      <c r="G27" s="148"/>
    </row>
    <row r="28" spans="1:9" ht="14.4" x14ac:dyDescent="0.3">
      <c r="A28" s="143">
        <v>22</v>
      </c>
      <c r="B28" s="144"/>
      <c r="C28" s="161"/>
      <c r="D28" s="146"/>
      <c r="E28" s="147"/>
      <c r="G28" s="148"/>
    </row>
    <row r="29" spans="1:9" ht="14.4" x14ac:dyDescent="0.3">
      <c r="A29" s="143">
        <v>23</v>
      </c>
      <c r="B29" s="144"/>
      <c r="C29" s="161"/>
      <c r="D29" s="146"/>
      <c r="E29" s="147"/>
      <c r="G29" s="148"/>
    </row>
    <row r="30" spans="1:9" ht="14.4" x14ac:dyDescent="0.3">
      <c r="A30" s="143">
        <v>24</v>
      </c>
      <c r="B30" s="144"/>
      <c r="C30" s="161"/>
      <c r="D30" s="146"/>
      <c r="E30" s="147"/>
      <c r="G30" s="148"/>
    </row>
    <row r="31" spans="1:9" ht="14.4" x14ac:dyDescent="0.3">
      <c r="A31" s="143">
        <v>25</v>
      </c>
      <c r="B31" s="144"/>
      <c r="C31" s="161"/>
      <c r="D31" s="146"/>
      <c r="E31" s="147"/>
      <c r="G31" s="148"/>
    </row>
    <row r="32" spans="1:9" ht="14.4" x14ac:dyDescent="0.3">
      <c r="A32" s="143">
        <v>26</v>
      </c>
      <c r="B32" s="144"/>
      <c r="C32" s="161"/>
      <c r="D32" s="146"/>
      <c r="E32" s="147"/>
      <c r="G32" s="148"/>
    </row>
    <row r="33" spans="1:7" ht="14.4" x14ac:dyDescent="0.3">
      <c r="A33" s="143">
        <v>27</v>
      </c>
      <c r="B33" s="144"/>
      <c r="C33" s="161"/>
      <c r="D33" s="146"/>
      <c r="E33" s="147"/>
      <c r="G33" s="148"/>
    </row>
    <row r="34" spans="1:7" ht="14.4" x14ac:dyDescent="0.3">
      <c r="A34" s="143">
        <v>28</v>
      </c>
      <c r="B34" s="144"/>
      <c r="C34" s="161"/>
      <c r="D34" s="146"/>
      <c r="E34" s="147"/>
      <c r="G34" s="148"/>
    </row>
    <row r="35" spans="1:7" ht="14.4" x14ac:dyDescent="0.3">
      <c r="A35" s="143">
        <v>29</v>
      </c>
      <c r="B35" s="144"/>
      <c r="C35" s="161"/>
      <c r="D35" s="146"/>
      <c r="E35" s="147"/>
      <c r="G35" s="148"/>
    </row>
    <row r="36" spans="1:7" ht="14.4" x14ac:dyDescent="0.3">
      <c r="A36" s="143">
        <v>30</v>
      </c>
      <c r="B36" s="144"/>
      <c r="C36" s="161"/>
      <c r="D36" s="146"/>
      <c r="E36" s="147"/>
      <c r="G36" s="148"/>
    </row>
    <row r="37" spans="1:7" ht="14.4" x14ac:dyDescent="0.3">
      <c r="A37" s="143">
        <v>31</v>
      </c>
      <c r="B37" s="151"/>
      <c r="C37" s="161"/>
      <c r="D37" s="146"/>
      <c r="E37" s="147"/>
      <c r="G37" s="148"/>
    </row>
    <row r="38" spans="1:7" ht="14.4" x14ac:dyDescent="0.3">
      <c r="A38" s="143">
        <v>32</v>
      </c>
      <c r="B38" s="151"/>
      <c r="C38" s="161"/>
      <c r="D38" s="159"/>
      <c r="E38" s="147"/>
      <c r="G38" s="148"/>
    </row>
    <row r="39" spans="1:7" ht="14.4" x14ac:dyDescent="0.3">
      <c r="A39" s="143">
        <v>33</v>
      </c>
      <c r="B39" s="151"/>
      <c r="C39" s="161"/>
      <c r="D39" s="159"/>
      <c r="E39" s="147"/>
      <c r="G39" s="148"/>
    </row>
    <row r="40" spans="1:7" ht="14.4" x14ac:dyDescent="0.3">
      <c r="A40" s="143">
        <v>34</v>
      </c>
      <c r="B40" s="151"/>
      <c r="C40" s="161"/>
      <c r="D40" s="159"/>
      <c r="E40" s="147"/>
      <c r="G40" s="148"/>
    </row>
    <row r="41" spans="1:7" ht="14.4" x14ac:dyDescent="0.3">
      <c r="A41" s="143">
        <v>35</v>
      </c>
      <c r="B41" s="151"/>
      <c r="C41" s="161"/>
      <c r="D41" s="159"/>
      <c r="E41" s="147"/>
      <c r="G41" s="148"/>
    </row>
    <row r="42" spans="1:7" ht="14.4" x14ac:dyDescent="0.3">
      <c r="A42" s="143">
        <v>36</v>
      </c>
      <c r="B42" s="151"/>
      <c r="C42" s="161"/>
      <c r="D42" s="146"/>
      <c r="E42" s="147"/>
      <c r="G42" s="148"/>
    </row>
    <row r="43" spans="1:7" ht="14.4" x14ac:dyDescent="0.3">
      <c r="A43" s="143">
        <v>37</v>
      </c>
      <c r="B43" s="151"/>
      <c r="C43" s="161"/>
      <c r="D43" s="146"/>
      <c r="E43" s="147"/>
      <c r="G43" s="148"/>
    </row>
    <row r="44" spans="1:7" ht="14.4" x14ac:dyDescent="0.3">
      <c r="A44" s="143">
        <v>38</v>
      </c>
      <c r="B44" s="151"/>
      <c r="C44" s="161"/>
      <c r="D44" s="146"/>
      <c r="E44" s="147"/>
      <c r="G44" s="148"/>
    </row>
    <row r="45" spans="1:7" ht="14.4" x14ac:dyDescent="0.3">
      <c r="A45" s="143">
        <v>39</v>
      </c>
      <c r="B45" s="151"/>
      <c r="C45" s="161"/>
      <c r="D45" s="146"/>
      <c r="E45" s="147"/>
      <c r="G45" s="148"/>
    </row>
    <row r="46" spans="1:7" ht="14.4" x14ac:dyDescent="0.3">
      <c r="A46" s="143">
        <v>40</v>
      </c>
      <c r="B46" s="151"/>
      <c r="C46" s="161"/>
      <c r="D46" s="146"/>
      <c r="E46" s="147"/>
      <c r="G46" s="148"/>
    </row>
    <row r="47" spans="1:7" ht="14.4" x14ac:dyDescent="0.3">
      <c r="A47" s="143">
        <v>41</v>
      </c>
      <c r="B47" s="151"/>
      <c r="C47" s="161"/>
      <c r="D47" s="146"/>
      <c r="E47" s="147"/>
      <c r="G47" s="148"/>
    </row>
    <row r="48" spans="1:7" ht="14.4" x14ac:dyDescent="0.3">
      <c r="A48" s="143">
        <v>42</v>
      </c>
      <c r="B48" s="151"/>
      <c r="C48" s="161"/>
      <c r="D48" s="146"/>
      <c r="E48" s="147"/>
      <c r="G48" s="148"/>
    </row>
    <row r="49" spans="1:7" ht="14.4" x14ac:dyDescent="0.3">
      <c r="A49" s="143">
        <v>43</v>
      </c>
      <c r="B49" s="151"/>
      <c r="C49" s="161"/>
      <c r="D49" s="146"/>
      <c r="E49" s="147"/>
      <c r="G49" s="148"/>
    </row>
    <row r="50" spans="1:7" ht="14.4" x14ac:dyDescent="0.3">
      <c r="A50" s="143">
        <v>44</v>
      </c>
      <c r="B50" s="151"/>
      <c r="C50" s="161"/>
      <c r="D50" s="146"/>
      <c r="E50" s="147"/>
      <c r="G50" s="148"/>
    </row>
    <row r="51" spans="1:7" ht="14.4" x14ac:dyDescent="0.3">
      <c r="A51" s="143">
        <v>45</v>
      </c>
      <c r="B51" s="151"/>
      <c r="C51" s="161"/>
      <c r="D51" s="146"/>
      <c r="E51" s="147"/>
      <c r="G51" s="148"/>
    </row>
    <row r="52" spans="1:7" ht="14.4" x14ac:dyDescent="0.3">
      <c r="A52" s="143">
        <v>46</v>
      </c>
      <c r="B52" s="151"/>
      <c r="C52" s="161"/>
      <c r="D52" s="146"/>
      <c r="G52" s="148"/>
    </row>
    <row r="53" spans="1:7" ht="14.4" x14ac:dyDescent="0.3">
      <c r="A53" s="143">
        <v>47</v>
      </c>
      <c r="B53" s="151"/>
      <c r="C53" s="161"/>
      <c r="D53" s="146"/>
      <c r="G53" s="148"/>
    </row>
    <row r="54" spans="1:7" ht="14.4" x14ac:dyDescent="0.3">
      <c r="A54" s="143">
        <v>48</v>
      </c>
      <c r="B54" s="151"/>
      <c r="C54" s="161"/>
      <c r="D54" s="146"/>
      <c r="G54" s="148"/>
    </row>
    <row r="55" spans="1:7" ht="14.4" x14ac:dyDescent="0.3">
      <c r="A55" s="143">
        <v>49</v>
      </c>
      <c r="B55" s="151"/>
      <c r="C55" s="161"/>
      <c r="D55" s="146"/>
      <c r="G55" s="148"/>
    </row>
    <row r="56" spans="1:7" ht="14.4" x14ac:dyDescent="0.3">
      <c r="A56" s="143">
        <v>50</v>
      </c>
      <c r="B56" s="151"/>
      <c r="C56" s="161"/>
      <c r="D56" s="159"/>
      <c r="G56" s="148"/>
    </row>
    <row r="57" spans="1:7" ht="14.4" x14ac:dyDescent="0.3">
      <c r="A57" s="143">
        <v>51</v>
      </c>
      <c r="B57" s="151"/>
      <c r="C57" s="161"/>
      <c r="D57" s="159"/>
      <c r="G57" s="148"/>
    </row>
    <row r="58" spans="1:7" ht="14.4" x14ac:dyDescent="0.3">
      <c r="A58" s="143">
        <v>52</v>
      </c>
      <c r="B58" s="151"/>
      <c r="C58" s="158"/>
      <c r="D58" s="159"/>
      <c r="G58" s="148"/>
    </row>
    <row r="59" spans="1:7" ht="14.4" x14ac:dyDescent="0.3">
      <c r="A59" s="143">
        <v>53</v>
      </c>
      <c r="B59" s="151"/>
      <c r="C59" s="158"/>
      <c r="D59" s="159"/>
      <c r="G59" s="148"/>
    </row>
    <row r="60" spans="1:7" ht="14.4" x14ac:dyDescent="0.3">
      <c r="A60" s="143">
        <v>54</v>
      </c>
      <c r="B60" s="151"/>
      <c r="C60" s="158"/>
      <c r="D60" s="159"/>
      <c r="G60" s="148"/>
    </row>
    <row r="61" spans="1:7" ht="14.4" x14ac:dyDescent="0.3">
      <c r="A61" s="143">
        <v>55</v>
      </c>
      <c r="B61" s="151"/>
      <c r="C61" s="158"/>
      <c r="D61" s="159"/>
      <c r="G61" s="148"/>
    </row>
    <row r="62" spans="1:7" ht="14.4" x14ac:dyDescent="0.3">
      <c r="A62" s="143">
        <v>56</v>
      </c>
      <c r="B62" s="151"/>
      <c r="C62" s="158"/>
      <c r="D62" s="159"/>
      <c r="G62" s="148"/>
    </row>
    <row r="63" spans="1:7" ht="14.4" x14ac:dyDescent="0.3">
      <c r="A63" s="143">
        <v>57</v>
      </c>
      <c r="B63" s="151"/>
      <c r="C63" s="158"/>
      <c r="D63" s="159"/>
    </row>
    <row r="64" spans="1:7" ht="14.4" x14ac:dyDescent="0.3">
      <c r="A64" s="143">
        <v>58</v>
      </c>
      <c r="B64" s="151"/>
      <c r="C64" s="158"/>
      <c r="D64" s="159"/>
    </row>
    <row r="65" spans="1:4" ht="14.4" x14ac:dyDescent="0.3">
      <c r="A65" s="143">
        <v>59</v>
      </c>
      <c r="B65" s="151"/>
      <c r="C65" s="158"/>
      <c r="D65" s="159"/>
    </row>
    <row r="66" spans="1:4" ht="14.4" x14ac:dyDescent="0.3">
      <c r="A66" s="143">
        <v>60</v>
      </c>
      <c r="B66" s="151"/>
      <c r="C66" s="158"/>
      <c r="D66" s="159"/>
    </row>
    <row r="67" spans="1:4" ht="14.4" x14ac:dyDescent="0.3">
      <c r="B67" s="160"/>
      <c r="C67" s="158"/>
      <c r="D67" s="146"/>
    </row>
    <row r="68" spans="1:4" x14ac:dyDescent="0.2">
      <c r="B68" s="149"/>
      <c r="C68" s="152"/>
    </row>
    <row r="69" spans="1:4" x14ac:dyDescent="0.2">
      <c r="B69" s="149"/>
      <c r="C69" s="152"/>
    </row>
    <row r="70" spans="1:4" x14ac:dyDescent="0.2">
      <c r="B70" s="149"/>
      <c r="C70" s="152"/>
    </row>
    <row r="71" spans="1:4" x14ac:dyDescent="0.2">
      <c r="B71" s="149"/>
      <c r="C71" s="152"/>
    </row>
    <row r="72" spans="1:4" x14ac:dyDescent="0.2">
      <c r="B72" s="149"/>
      <c r="C72" s="152"/>
    </row>
    <row r="73" spans="1:4" x14ac:dyDescent="0.2">
      <c r="B73" s="149"/>
      <c r="C73" s="152"/>
    </row>
    <row r="74" spans="1:4" x14ac:dyDescent="0.2">
      <c r="B74" s="149"/>
      <c r="C74" s="152"/>
    </row>
    <row r="75" spans="1:4" x14ac:dyDescent="0.2">
      <c r="B75" s="149"/>
      <c r="C75" s="152"/>
    </row>
    <row r="76" spans="1:4" x14ac:dyDescent="0.2">
      <c r="B76" s="149"/>
      <c r="C76" s="152"/>
    </row>
    <row r="77" spans="1:4" x14ac:dyDescent="0.2">
      <c r="B77" s="149"/>
      <c r="C77" s="152"/>
    </row>
    <row r="78" spans="1:4" x14ac:dyDescent="0.2">
      <c r="B78" s="149"/>
      <c r="C78" s="152"/>
    </row>
    <row r="79" spans="1:4" x14ac:dyDescent="0.2">
      <c r="B79" s="149"/>
      <c r="C79" s="152"/>
    </row>
    <row r="80" spans="1:4" x14ac:dyDescent="0.2">
      <c r="B80" s="149"/>
      <c r="C80" s="152"/>
    </row>
    <row r="81" spans="2:3" x14ac:dyDescent="0.2">
      <c r="B81" s="149"/>
      <c r="C81" s="152"/>
    </row>
    <row r="82" spans="2:3" x14ac:dyDescent="0.2">
      <c r="B82" s="149"/>
      <c r="C82" s="152"/>
    </row>
    <row r="83" spans="2:3" x14ac:dyDescent="0.2">
      <c r="B83" s="149"/>
      <c r="C83" s="152"/>
    </row>
    <row r="84" spans="2:3" x14ac:dyDescent="0.2">
      <c r="B84" s="149"/>
      <c r="C84" s="152"/>
    </row>
    <row r="85" spans="2:3" x14ac:dyDescent="0.2">
      <c r="B85" s="149"/>
      <c r="C85" s="152"/>
    </row>
    <row r="86" spans="2:3" x14ac:dyDescent="0.2">
      <c r="B86" s="149"/>
      <c r="C86" s="152"/>
    </row>
    <row r="87" spans="2:3" x14ac:dyDescent="0.2">
      <c r="B87" s="149"/>
      <c r="C87" s="152"/>
    </row>
    <row r="88" spans="2:3" x14ac:dyDescent="0.2">
      <c r="B88" s="149"/>
      <c r="C88" s="152"/>
    </row>
    <row r="89" spans="2:3" x14ac:dyDescent="0.2">
      <c r="B89" s="149"/>
      <c r="C89" s="152"/>
    </row>
    <row r="90" spans="2:3" x14ac:dyDescent="0.2">
      <c r="B90" s="149"/>
      <c r="C90" s="152"/>
    </row>
    <row r="91" spans="2:3" x14ac:dyDescent="0.2">
      <c r="B91" s="149"/>
      <c r="C91" s="152"/>
    </row>
    <row r="92" spans="2:3" x14ac:dyDescent="0.2">
      <c r="B92" s="149"/>
      <c r="C92" s="152"/>
    </row>
    <row r="93" spans="2:3" x14ac:dyDescent="0.2">
      <c r="B93" s="149"/>
      <c r="C93" s="152"/>
    </row>
    <row r="94" spans="2:3" x14ac:dyDescent="0.2">
      <c r="B94" s="149"/>
      <c r="C94" s="152"/>
    </row>
    <row r="95" spans="2:3" x14ac:dyDescent="0.2">
      <c r="B95" s="149"/>
      <c r="C95" s="152"/>
    </row>
    <row r="96" spans="2:3" x14ac:dyDescent="0.2">
      <c r="B96" s="149"/>
      <c r="C96" s="152"/>
    </row>
    <row r="97" spans="2:3" x14ac:dyDescent="0.2">
      <c r="B97" s="149"/>
      <c r="C97" s="152"/>
    </row>
    <row r="98" spans="2:3" x14ac:dyDescent="0.2">
      <c r="B98" s="149"/>
      <c r="C98" s="152"/>
    </row>
    <row r="99" spans="2:3" x14ac:dyDescent="0.2">
      <c r="B99" s="149"/>
      <c r="C99" s="152"/>
    </row>
    <row r="100" spans="2:3" x14ac:dyDescent="0.2">
      <c r="B100" s="149"/>
      <c r="C100" s="152"/>
    </row>
    <row r="101" spans="2:3" x14ac:dyDescent="0.2">
      <c r="B101" s="149"/>
      <c r="C101" s="152"/>
    </row>
    <row r="102" spans="2:3" x14ac:dyDescent="0.2">
      <c r="B102" s="149"/>
      <c r="C102" s="152"/>
    </row>
    <row r="103" spans="2:3" x14ac:dyDescent="0.2">
      <c r="B103" s="149"/>
      <c r="C103" s="152"/>
    </row>
  </sheetData>
  <phoneticPr fontId="16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6"/>
  <sheetViews>
    <sheetView topLeftCell="A52" zoomScaleNormal="100" workbookViewId="0">
      <selection activeCell="C72" sqref="C72"/>
    </sheetView>
  </sheetViews>
  <sheetFormatPr baseColWidth="10" defaultColWidth="11.44140625" defaultRowHeight="10.199999999999999" x14ac:dyDescent="0.2"/>
  <cols>
    <col min="1" max="1" width="14.109375" style="6" customWidth="1"/>
    <col min="2" max="2" width="15.44140625" style="6" customWidth="1"/>
    <col min="3" max="12" width="13.5546875" style="6" customWidth="1"/>
    <col min="13" max="16384" width="11.44140625" style="6"/>
  </cols>
  <sheetData>
    <row r="1" spans="1:12" ht="13.8" x14ac:dyDescent="0.25">
      <c r="A1" s="85" t="s">
        <v>98</v>
      </c>
      <c r="B1" s="86"/>
      <c r="C1" s="86"/>
    </row>
    <row r="2" spans="1:12" s="88" customFormat="1" ht="13.5" customHeight="1" x14ac:dyDescent="0.25">
      <c r="A2" s="87" t="s">
        <v>56</v>
      </c>
      <c r="C2" s="111"/>
    </row>
    <row r="3" spans="1:12" s="88" customFormat="1" ht="13.5" customHeight="1" x14ac:dyDescent="0.25">
      <c r="A3" s="87" t="s">
        <v>57</v>
      </c>
      <c r="C3" s="111"/>
    </row>
    <row r="4" spans="1:12" s="88" customFormat="1" ht="13.5" customHeight="1" x14ac:dyDescent="0.25">
      <c r="A4" s="87" t="s">
        <v>58</v>
      </c>
      <c r="C4" s="111"/>
    </row>
    <row r="5" spans="1:12" s="88" customFormat="1" ht="13.5" customHeight="1" x14ac:dyDescent="0.25">
      <c r="A5" s="87" t="s">
        <v>95</v>
      </c>
      <c r="C5" s="111"/>
      <c r="F5" s="88" t="s">
        <v>55</v>
      </c>
    </row>
    <row r="6" spans="1:12" s="88" customFormat="1" ht="13.5" customHeight="1" x14ac:dyDescent="0.25">
      <c r="A6" s="87" t="s">
        <v>90</v>
      </c>
      <c r="C6" s="112"/>
      <c r="D6" s="89"/>
    </row>
    <row r="7" spans="1:12" s="88" customFormat="1" ht="13.5" customHeight="1" x14ac:dyDescent="0.25">
      <c r="A7" s="87" t="s">
        <v>91</v>
      </c>
      <c r="C7" s="113"/>
      <c r="D7" s="89"/>
    </row>
    <row r="8" spans="1:12" s="88" customFormat="1" ht="13.5" customHeight="1" x14ac:dyDescent="0.25">
      <c r="A8" s="90" t="s">
        <v>85</v>
      </c>
      <c r="C8" s="91">
        <f>T!C17</f>
        <v>0</v>
      </c>
      <c r="D8" s="92"/>
    </row>
    <row r="9" spans="1:12" s="88" customFormat="1" ht="13.5" customHeight="1" x14ac:dyDescent="0.25">
      <c r="A9" s="90" t="s">
        <v>86</v>
      </c>
      <c r="C9" s="91">
        <f>C8+365</f>
        <v>365</v>
      </c>
    </row>
    <row r="10" spans="1:12" s="88" customFormat="1" ht="13.5" customHeight="1" x14ac:dyDescent="0.25"/>
    <row r="11" spans="1:12" s="88" customFormat="1" ht="13.5" customHeight="1" x14ac:dyDescent="0.25">
      <c r="A11" s="93" t="s">
        <v>40</v>
      </c>
    </row>
    <row r="12" spans="1:12" s="88" customFormat="1" ht="13.5" customHeight="1" x14ac:dyDescent="0.25"/>
    <row r="13" spans="1:12" s="88" customFormat="1" ht="13.5" customHeight="1" x14ac:dyDescent="0.25">
      <c r="A13" s="205" t="s">
        <v>41</v>
      </c>
      <c r="B13" s="205"/>
      <c r="C13" s="209" t="s">
        <v>67</v>
      </c>
      <c r="D13" s="209"/>
      <c r="E13" s="209"/>
      <c r="F13" s="209"/>
      <c r="G13" s="209"/>
      <c r="H13" s="209"/>
      <c r="I13" s="209"/>
      <c r="J13" s="209"/>
      <c r="K13" s="209"/>
      <c r="L13" s="209"/>
    </row>
    <row r="14" spans="1:12" s="88" customFormat="1" ht="13.5" customHeight="1" x14ac:dyDescent="0.25">
      <c r="A14" s="94" t="s">
        <v>42</v>
      </c>
      <c r="B14" s="94" t="s">
        <v>43</v>
      </c>
      <c r="C14" s="94" t="s">
        <v>10</v>
      </c>
      <c r="D14" s="95" t="str">
        <f>Primarios!C5</f>
        <v>Posición 1</v>
      </c>
      <c r="E14" s="95" t="str">
        <f>Primarios!D5</f>
        <v>Posición 2</v>
      </c>
      <c r="F14" s="95" t="str">
        <f>Primarios!E5</f>
        <v>Posición 3</v>
      </c>
      <c r="G14" s="95" t="str">
        <f>Primarios!F5</f>
        <v>Posición 4</v>
      </c>
      <c r="H14" s="95" t="str">
        <f>Primarios!G5</f>
        <v>Posición 5</v>
      </c>
      <c r="I14" s="95" t="str">
        <f>Primarios!H5</f>
        <v>Posición 6</v>
      </c>
      <c r="J14" s="95" t="str">
        <f>Primarios!I5</f>
        <v>Posición 7</v>
      </c>
      <c r="K14" s="95" t="str">
        <f>Primarios!J5</f>
        <v>Posición 8</v>
      </c>
      <c r="L14" s="95" t="str">
        <f>Primarios!K5</f>
        <v>Posición 9</v>
      </c>
    </row>
    <row r="15" spans="1:12" s="88" customFormat="1" ht="13.5" customHeight="1" x14ac:dyDescent="0.25">
      <c r="A15" s="96">
        <f>T!H3</f>
        <v>0</v>
      </c>
      <c r="B15" s="96">
        <f>T!H4</f>
        <v>0</v>
      </c>
      <c r="C15" s="207" t="s">
        <v>44</v>
      </c>
      <c r="D15" s="97">
        <f>Primarios!C3</f>
        <v>0</v>
      </c>
      <c r="E15" s="210">
        <f>Primarios!D3</f>
        <v>0</v>
      </c>
      <c r="F15" s="210">
        <f>Primarios!E3</f>
        <v>0</v>
      </c>
      <c r="G15" s="210">
        <f>Primarios!F3</f>
        <v>0</v>
      </c>
      <c r="H15" s="210">
        <f>Primarios!G3</f>
        <v>0</v>
      </c>
      <c r="I15" s="210">
        <f>Primarios!H3</f>
        <v>0</v>
      </c>
      <c r="J15" s="210">
        <f>Primarios!I3</f>
        <v>0</v>
      </c>
      <c r="K15" s="210">
        <f>Primarios!J3</f>
        <v>0</v>
      </c>
      <c r="L15" s="210">
        <f>Primarios!K3</f>
        <v>0</v>
      </c>
    </row>
    <row r="16" spans="1:12" s="88" customFormat="1" ht="13.5" customHeight="1" x14ac:dyDescent="0.25">
      <c r="A16" s="98">
        <f>T!G3</f>
        <v>0</v>
      </c>
      <c r="B16" s="98">
        <f>T!G4</f>
        <v>0</v>
      </c>
      <c r="C16" s="208"/>
      <c r="D16" s="99" t="s">
        <v>45</v>
      </c>
      <c r="E16" s="211"/>
      <c r="F16" s="211"/>
      <c r="G16" s="211"/>
      <c r="H16" s="211"/>
      <c r="I16" s="211"/>
      <c r="J16" s="211"/>
      <c r="K16" s="211"/>
      <c r="L16" s="211"/>
    </row>
    <row r="17" spans="1:11" s="88" customFormat="1" ht="13.5" customHeight="1" x14ac:dyDescent="0.25">
      <c r="A17" s="100"/>
      <c r="B17" s="100"/>
      <c r="C17" s="101"/>
      <c r="D17" s="102"/>
      <c r="E17" s="102"/>
      <c r="F17" s="102"/>
      <c r="G17" s="102"/>
      <c r="H17" s="102"/>
      <c r="I17" s="102"/>
    </row>
    <row r="18" spans="1:11" s="88" customFormat="1" ht="13.5" customHeight="1" x14ac:dyDescent="0.2">
      <c r="A18" s="100"/>
      <c r="B18" s="100"/>
      <c r="C18" s="101"/>
      <c r="D18" s="101"/>
      <c r="E18" s="6"/>
      <c r="F18" s="102"/>
      <c r="G18" s="102"/>
      <c r="H18" s="102"/>
      <c r="I18" s="102"/>
      <c r="J18" s="102"/>
    </row>
    <row r="19" spans="1:11" s="88" customFormat="1" ht="13.5" customHeight="1" x14ac:dyDescent="0.2">
      <c r="A19" s="93" t="s">
        <v>88</v>
      </c>
      <c r="F19" s="6"/>
      <c r="G19" s="93" t="s">
        <v>89</v>
      </c>
    </row>
    <row r="20" spans="1:11" s="88" customFormat="1" ht="13.5" customHeight="1" x14ac:dyDescent="0.2">
      <c r="E20" s="6"/>
    </row>
    <row r="21" spans="1:11" s="88" customFormat="1" ht="13.5" customHeight="1" x14ac:dyDescent="0.2">
      <c r="A21" s="202" t="s">
        <v>29</v>
      </c>
      <c r="B21" s="206" t="s">
        <v>46</v>
      </c>
      <c r="C21" s="206"/>
      <c r="D21" s="64" t="s">
        <v>30</v>
      </c>
      <c r="E21" s="64" t="s">
        <v>87</v>
      </c>
      <c r="F21" s="6"/>
      <c r="G21" s="202" t="s">
        <v>29</v>
      </c>
      <c r="H21" s="206" t="s">
        <v>76</v>
      </c>
      <c r="I21" s="206"/>
      <c r="J21" s="64" t="s">
        <v>30</v>
      </c>
      <c r="K21" s="64" t="s">
        <v>87</v>
      </c>
    </row>
    <row r="22" spans="1:11" s="88" customFormat="1" ht="33" customHeight="1" x14ac:dyDescent="0.2">
      <c r="A22" s="202"/>
      <c r="B22" s="103" t="s">
        <v>31</v>
      </c>
      <c r="C22" s="64" t="s">
        <v>32</v>
      </c>
      <c r="D22" s="64" t="s">
        <v>47</v>
      </c>
      <c r="E22" s="64" t="s">
        <v>47</v>
      </c>
      <c r="F22" s="6"/>
      <c r="G22" s="202"/>
      <c r="H22" s="103" t="s">
        <v>31</v>
      </c>
      <c r="I22" s="64" t="s">
        <v>32</v>
      </c>
      <c r="J22" s="64" t="s">
        <v>47</v>
      </c>
      <c r="K22" s="64" t="s">
        <v>47</v>
      </c>
    </row>
    <row r="23" spans="1:11" s="88" customFormat="1" ht="13.5" customHeight="1" x14ac:dyDescent="0.2">
      <c r="A23" s="68">
        <f>D15</f>
        <v>0</v>
      </c>
      <c r="B23" s="68">
        <f>T!D308</f>
        <v>0</v>
      </c>
      <c r="C23" s="68">
        <f t="shared" ref="C23:C31" si="0">B$32-B23</f>
        <v>0</v>
      </c>
      <c r="D23" s="68" t="str">
        <f>IF(ABS(C23)&lt;2,"SI","NO")</f>
        <v>SI</v>
      </c>
      <c r="E23" s="68" t="str">
        <f>IF(B23&gt;($C$6-2),(IF(B23&lt;($C$6+2),"SI","NO2")),"NO1")</f>
        <v>SI</v>
      </c>
      <c r="F23" s="6"/>
      <c r="G23" s="70">
        <f t="shared" ref="G23:G31" si="1">A23</f>
        <v>0</v>
      </c>
      <c r="H23" s="70">
        <f>HR!D308</f>
        <v>0</v>
      </c>
      <c r="I23" s="70">
        <f t="shared" ref="I23:I31" si="2">H$32-H23</f>
        <v>0</v>
      </c>
      <c r="J23" s="68" t="str">
        <f>IF(ABS(I23)&lt;5,"SI","NO")</f>
        <v>SI</v>
      </c>
      <c r="K23" s="68" t="str">
        <f>IF(H23&gt;($C$7-5),(IF(H23&lt;($C$7+5),"SI","NO2")),"NO1")</f>
        <v>SI</v>
      </c>
    </row>
    <row r="24" spans="1:11" s="88" customFormat="1" ht="13.5" customHeight="1" x14ac:dyDescent="0.2">
      <c r="A24" s="68">
        <f>E15</f>
        <v>0</v>
      </c>
      <c r="B24" s="68">
        <f>T!E308</f>
        <v>0</v>
      </c>
      <c r="C24" s="68">
        <f t="shared" si="0"/>
        <v>0</v>
      </c>
      <c r="D24" s="68" t="str">
        <f t="shared" ref="D24:D29" si="3">IF(ABS(C24)&lt;2,"SI","NO")</f>
        <v>SI</v>
      </c>
      <c r="E24" s="68" t="str">
        <f>IF(B24&gt;($C$6-2),(IF(B24&lt;($C$6+2),"SI","NO2")),"NO1")</f>
        <v>SI</v>
      </c>
      <c r="F24" s="6"/>
      <c r="G24" s="70">
        <f t="shared" si="1"/>
        <v>0</v>
      </c>
      <c r="H24" s="70">
        <f>HR!E308</f>
        <v>0</v>
      </c>
      <c r="I24" s="70">
        <f t="shared" si="2"/>
        <v>0</v>
      </c>
      <c r="J24" s="68" t="str">
        <f t="shared" ref="J24:J31" si="4">IF(ABS(I24)&lt;5,"SI","NO")</f>
        <v>SI</v>
      </c>
      <c r="K24" s="68" t="str">
        <f t="shared" ref="K24:K31" si="5">IF(H24&gt;($C$7-5),(IF(H24&lt;($C$7+5),"SI","NO2")),"NO1")</f>
        <v>SI</v>
      </c>
    </row>
    <row r="25" spans="1:11" s="88" customFormat="1" ht="13.5" customHeight="1" x14ac:dyDescent="0.2">
      <c r="A25" s="68">
        <f>F15</f>
        <v>0</v>
      </c>
      <c r="B25" s="68">
        <f>T!F308</f>
        <v>0</v>
      </c>
      <c r="C25" s="68">
        <f t="shared" si="0"/>
        <v>0</v>
      </c>
      <c r="D25" s="68" t="str">
        <f t="shared" si="3"/>
        <v>SI</v>
      </c>
      <c r="E25" s="68" t="str">
        <f t="shared" ref="E25:E31" si="6">IF(B25&gt;($C$6-2),(IF(B25&lt;($C$6+2),"SI","NO2")),"NO1")</f>
        <v>SI</v>
      </c>
      <c r="F25" s="6"/>
      <c r="G25" s="70">
        <f t="shared" si="1"/>
        <v>0</v>
      </c>
      <c r="H25" s="70">
        <f>HR!F308</f>
        <v>0</v>
      </c>
      <c r="I25" s="70">
        <f t="shared" si="2"/>
        <v>0</v>
      </c>
      <c r="J25" s="68" t="str">
        <f t="shared" si="4"/>
        <v>SI</v>
      </c>
      <c r="K25" s="68" t="str">
        <f t="shared" si="5"/>
        <v>SI</v>
      </c>
    </row>
    <row r="26" spans="1:11" s="88" customFormat="1" ht="13.5" customHeight="1" x14ac:dyDescent="0.2">
      <c r="A26" s="68">
        <f>G15</f>
        <v>0</v>
      </c>
      <c r="B26" s="68">
        <f>T!G308</f>
        <v>0</v>
      </c>
      <c r="C26" s="68">
        <f t="shared" si="0"/>
        <v>0</v>
      </c>
      <c r="D26" s="68" t="str">
        <f t="shared" si="3"/>
        <v>SI</v>
      </c>
      <c r="E26" s="68" t="str">
        <f t="shared" si="6"/>
        <v>SI</v>
      </c>
      <c r="F26" s="6"/>
      <c r="G26" s="70">
        <f t="shared" si="1"/>
        <v>0</v>
      </c>
      <c r="H26" s="70">
        <f>HR!G308</f>
        <v>0</v>
      </c>
      <c r="I26" s="70">
        <f t="shared" si="2"/>
        <v>0</v>
      </c>
      <c r="J26" s="68" t="str">
        <f t="shared" si="4"/>
        <v>SI</v>
      </c>
      <c r="K26" s="68" t="str">
        <f t="shared" si="5"/>
        <v>SI</v>
      </c>
    </row>
    <row r="27" spans="1:11" s="88" customFormat="1" ht="13.5" customHeight="1" x14ac:dyDescent="0.2">
      <c r="A27" s="68">
        <f>H15</f>
        <v>0</v>
      </c>
      <c r="B27" s="68">
        <f>T!H308</f>
        <v>0</v>
      </c>
      <c r="C27" s="68">
        <f t="shared" si="0"/>
        <v>0</v>
      </c>
      <c r="D27" s="68" t="str">
        <f t="shared" si="3"/>
        <v>SI</v>
      </c>
      <c r="E27" s="68" t="str">
        <f t="shared" si="6"/>
        <v>SI</v>
      </c>
      <c r="F27" s="6"/>
      <c r="G27" s="70">
        <f t="shared" si="1"/>
        <v>0</v>
      </c>
      <c r="H27" s="70">
        <f>HR!H308</f>
        <v>0</v>
      </c>
      <c r="I27" s="70">
        <f t="shared" si="2"/>
        <v>0</v>
      </c>
      <c r="J27" s="68" t="str">
        <f t="shared" si="4"/>
        <v>SI</v>
      </c>
      <c r="K27" s="68" t="str">
        <f t="shared" si="5"/>
        <v>SI</v>
      </c>
    </row>
    <row r="28" spans="1:11" s="88" customFormat="1" ht="13.5" customHeight="1" x14ac:dyDescent="0.2">
      <c r="A28" s="68">
        <f>I15</f>
        <v>0</v>
      </c>
      <c r="B28" s="68">
        <f>T!I308</f>
        <v>0</v>
      </c>
      <c r="C28" s="68">
        <f t="shared" si="0"/>
        <v>0</v>
      </c>
      <c r="D28" s="68" t="str">
        <f t="shared" si="3"/>
        <v>SI</v>
      </c>
      <c r="E28" s="68" t="str">
        <f t="shared" si="6"/>
        <v>SI</v>
      </c>
      <c r="F28" s="6"/>
      <c r="G28" s="70">
        <f t="shared" si="1"/>
        <v>0</v>
      </c>
      <c r="H28" s="70">
        <f>HR!I308</f>
        <v>0</v>
      </c>
      <c r="I28" s="70">
        <f t="shared" si="2"/>
        <v>0</v>
      </c>
      <c r="J28" s="68" t="str">
        <f t="shared" si="4"/>
        <v>SI</v>
      </c>
      <c r="K28" s="68" t="str">
        <f t="shared" si="5"/>
        <v>SI</v>
      </c>
    </row>
    <row r="29" spans="1:11" s="88" customFormat="1" ht="13.5" customHeight="1" x14ac:dyDescent="0.2">
      <c r="A29" s="68">
        <f>J15</f>
        <v>0</v>
      </c>
      <c r="B29" s="68">
        <f>T!J308</f>
        <v>0</v>
      </c>
      <c r="C29" s="68">
        <f t="shared" si="0"/>
        <v>0</v>
      </c>
      <c r="D29" s="68" t="str">
        <f t="shared" si="3"/>
        <v>SI</v>
      </c>
      <c r="E29" s="68" t="str">
        <f t="shared" si="6"/>
        <v>SI</v>
      </c>
      <c r="F29" s="6"/>
      <c r="G29" s="70">
        <f t="shared" si="1"/>
        <v>0</v>
      </c>
      <c r="H29" s="70">
        <f>HR!J308</f>
        <v>0</v>
      </c>
      <c r="I29" s="70">
        <f t="shared" si="2"/>
        <v>0</v>
      </c>
      <c r="J29" s="68" t="str">
        <f t="shared" si="4"/>
        <v>SI</v>
      </c>
      <c r="K29" s="68" t="str">
        <f t="shared" si="5"/>
        <v>SI</v>
      </c>
    </row>
    <row r="30" spans="1:11" s="88" customFormat="1" ht="13.5" customHeight="1" x14ac:dyDescent="0.2">
      <c r="A30" s="68">
        <f>K15</f>
        <v>0</v>
      </c>
      <c r="B30" s="68">
        <f>T!K308</f>
        <v>0</v>
      </c>
      <c r="C30" s="68">
        <f t="shared" si="0"/>
        <v>0</v>
      </c>
      <c r="D30" s="68" t="str">
        <f t="shared" ref="D30:D31" si="7">IF(ABS(C30)&lt;2,"SI","NO")</f>
        <v>SI</v>
      </c>
      <c r="E30" s="68" t="str">
        <f t="shared" si="6"/>
        <v>SI</v>
      </c>
      <c r="F30" s="6"/>
      <c r="G30" s="70">
        <f t="shared" si="1"/>
        <v>0</v>
      </c>
      <c r="H30" s="70">
        <f>HR!K308</f>
        <v>0</v>
      </c>
      <c r="I30" s="70">
        <f t="shared" si="2"/>
        <v>0</v>
      </c>
      <c r="J30" s="68" t="str">
        <f t="shared" si="4"/>
        <v>SI</v>
      </c>
      <c r="K30" s="68" t="str">
        <f t="shared" si="5"/>
        <v>SI</v>
      </c>
    </row>
    <row r="31" spans="1:11" s="88" customFormat="1" ht="13.5" customHeight="1" x14ac:dyDescent="0.2">
      <c r="A31" s="68">
        <f>L15</f>
        <v>0</v>
      </c>
      <c r="B31" s="68">
        <f>T!L308</f>
        <v>0</v>
      </c>
      <c r="C31" s="68">
        <f t="shared" si="0"/>
        <v>0</v>
      </c>
      <c r="D31" s="68" t="str">
        <f t="shared" si="7"/>
        <v>SI</v>
      </c>
      <c r="E31" s="68" t="str">
        <f t="shared" si="6"/>
        <v>SI</v>
      </c>
      <c r="F31" s="6"/>
      <c r="G31" s="70">
        <f t="shared" si="1"/>
        <v>0</v>
      </c>
      <c r="H31" s="70">
        <f>HR!L308</f>
        <v>0</v>
      </c>
      <c r="I31" s="70">
        <f t="shared" si="2"/>
        <v>0</v>
      </c>
      <c r="J31" s="68" t="str">
        <f t="shared" si="4"/>
        <v>SI</v>
      </c>
      <c r="K31" s="68" t="str">
        <f t="shared" si="5"/>
        <v>SI</v>
      </c>
    </row>
    <row r="32" spans="1:11" s="88" customFormat="1" ht="40.5" customHeight="1" x14ac:dyDescent="0.2">
      <c r="A32" s="103" t="s">
        <v>48</v>
      </c>
      <c r="B32" s="203">
        <f>T!D311</f>
        <v>0</v>
      </c>
      <c r="C32" s="203"/>
      <c r="D32" s="203"/>
      <c r="E32" s="203"/>
      <c r="F32" s="6"/>
      <c r="G32" s="103" t="s">
        <v>84</v>
      </c>
      <c r="H32" s="204">
        <f>HR!D311</f>
        <v>0</v>
      </c>
      <c r="I32" s="204"/>
      <c r="J32" s="204"/>
      <c r="K32" s="204"/>
    </row>
    <row r="33" spans="1:10" s="88" customFormat="1" ht="12.75" customHeight="1" x14ac:dyDescent="0.25">
      <c r="G33" s="104"/>
      <c r="H33" s="105"/>
      <c r="I33" s="105"/>
      <c r="J33" s="105"/>
    </row>
    <row r="34" spans="1:10" s="88" customFormat="1" x14ac:dyDescent="0.25"/>
    <row r="35" spans="1:10" s="88" customFormat="1" x14ac:dyDescent="0.25">
      <c r="A35" s="106" t="s">
        <v>77</v>
      </c>
    </row>
    <row r="36" spans="1:10" s="88" customFormat="1" x14ac:dyDescent="0.25"/>
    <row r="37" spans="1:10" s="88" customFormat="1" ht="13.5" customHeight="1" x14ac:dyDescent="0.25">
      <c r="A37" s="200" t="s">
        <v>68</v>
      </c>
      <c r="B37" s="202" t="s">
        <v>69</v>
      </c>
      <c r="C37" s="202"/>
      <c r="D37" s="202"/>
      <c r="E37" s="202" t="s">
        <v>32</v>
      </c>
      <c r="F37" s="202"/>
      <c r="G37" s="103" t="s">
        <v>34</v>
      </c>
    </row>
    <row r="38" spans="1:10" s="88" customFormat="1" ht="11.4" x14ac:dyDescent="0.25">
      <c r="A38" s="201"/>
      <c r="B38" s="103" t="s">
        <v>35</v>
      </c>
      <c r="C38" s="103" t="s">
        <v>36</v>
      </c>
      <c r="D38" s="103" t="s">
        <v>37</v>
      </c>
      <c r="E38" s="103" t="s">
        <v>70</v>
      </c>
      <c r="F38" s="103" t="s">
        <v>71</v>
      </c>
      <c r="G38" s="103" t="s">
        <v>33</v>
      </c>
    </row>
    <row r="39" spans="1:10" s="88" customFormat="1" x14ac:dyDescent="0.25">
      <c r="A39" s="107">
        <f>C6</f>
        <v>0</v>
      </c>
      <c r="B39" s="108">
        <f>T!D311</f>
        <v>0</v>
      </c>
      <c r="C39" s="108">
        <f>T!D312</f>
        <v>0</v>
      </c>
      <c r="D39" s="108">
        <f>T!D313</f>
        <v>0</v>
      </c>
      <c r="E39" s="108">
        <f>A39-C39</f>
        <v>0</v>
      </c>
      <c r="F39" s="108">
        <f>D39-A39</f>
        <v>0</v>
      </c>
      <c r="G39" s="107" t="str">
        <f>IF(ABS(E39)&lt;2,IF(ABS(F39&lt;2),"SI","NO"),"NO")</f>
        <v>SI</v>
      </c>
    </row>
    <row r="40" spans="1:10" s="88" customFormat="1" x14ac:dyDescent="0.25">
      <c r="A40" s="200" t="s">
        <v>78</v>
      </c>
      <c r="B40" s="202" t="s">
        <v>82</v>
      </c>
      <c r="C40" s="202"/>
      <c r="D40" s="202"/>
      <c r="E40" s="202" t="s">
        <v>32</v>
      </c>
      <c r="F40" s="202"/>
      <c r="G40" s="103" t="s">
        <v>34</v>
      </c>
    </row>
    <row r="41" spans="1:10" s="88" customFormat="1" ht="11.4" x14ac:dyDescent="0.25">
      <c r="A41" s="201"/>
      <c r="B41" s="103" t="s">
        <v>79</v>
      </c>
      <c r="C41" s="103" t="s">
        <v>80</v>
      </c>
      <c r="D41" s="103" t="s">
        <v>81</v>
      </c>
      <c r="E41" s="103" t="s">
        <v>70</v>
      </c>
      <c r="F41" s="103" t="s">
        <v>71</v>
      </c>
      <c r="G41" s="103" t="s">
        <v>33</v>
      </c>
    </row>
    <row r="42" spans="1:10" s="88" customFormat="1" x14ac:dyDescent="0.25">
      <c r="A42" s="107">
        <f>C7</f>
        <v>0</v>
      </c>
      <c r="B42" s="108">
        <f>HR!D311</f>
        <v>0</v>
      </c>
      <c r="C42" s="108">
        <f>HR!D312</f>
        <v>0</v>
      </c>
      <c r="D42" s="108">
        <f>HR!D313</f>
        <v>0</v>
      </c>
      <c r="E42" s="108">
        <f>A42-C42</f>
        <v>0</v>
      </c>
      <c r="F42" s="108">
        <f>D42-A42</f>
        <v>0</v>
      </c>
      <c r="G42" s="107" t="str">
        <f>IF(ABS(E42)&lt;5,IF(ABS(F42&lt;5),"SI","NO"),"NO")</f>
        <v>SI</v>
      </c>
    </row>
    <row r="43" spans="1:10" s="88" customFormat="1" x14ac:dyDescent="0.25"/>
    <row r="44" spans="1:10" s="88" customFormat="1" x14ac:dyDescent="0.25"/>
    <row r="45" spans="1:10" s="88" customFormat="1" x14ac:dyDescent="0.25">
      <c r="A45" s="93" t="s">
        <v>59</v>
      </c>
    </row>
    <row r="46" spans="1:10" s="88" customFormat="1" x14ac:dyDescent="0.25"/>
    <row r="47" spans="1:10" s="88" customFormat="1" ht="11.4" x14ac:dyDescent="0.25">
      <c r="A47" s="202" t="s">
        <v>38</v>
      </c>
      <c r="B47" s="202"/>
      <c r="C47" s="103" t="s">
        <v>72</v>
      </c>
      <c r="D47" s="103" t="s">
        <v>30</v>
      </c>
    </row>
    <row r="48" spans="1:10" s="88" customFormat="1" ht="12.6" x14ac:dyDescent="0.2">
      <c r="A48" s="103" t="s">
        <v>73</v>
      </c>
      <c r="B48" s="109" t="s">
        <v>74</v>
      </c>
      <c r="C48" s="103" t="s">
        <v>49</v>
      </c>
      <c r="D48" s="103" t="s">
        <v>33</v>
      </c>
      <c r="H48" s="110"/>
    </row>
    <row r="49" spans="1:11" s="88" customFormat="1" x14ac:dyDescent="0.2">
      <c r="A49" s="108">
        <f>B23</f>
        <v>0</v>
      </c>
      <c r="B49" s="114"/>
      <c r="C49" s="108">
        <f>B49-A49</f>
        <v>0</v>
      </c>
      <c r="D49" s="68" t="str">
        <f>IF(ABS(C49)&lt;1,"SI","NO")</f>
        <v>SI</v>
      </c>
      <c r="H49" s="110"/>
    </row>
    <row r="50" spans="1:11" s="88" customFormat="1" ht="11.4" x14ac:dyDescent="0.25">
      <c r="A50" s="202" t="s">
        <v>76</v>
      </c>
      <c r="B50" s="202"/>
      <c r="C50" s="103" t="s">
        <v>72</v>
      </c>
      <c r="D50" s="103" t="s">
        <v>30</v>
      </c>
    </row>
    <row r="51" spans="1:11" s="88" customFormat="1" ht="12.6" x14ac:dyDescent="0.25">
      <c r="A51" s="103" t="s">
        <v>73</v>
      </c>
      <c r="B51" s="109" t="s">
        <v>74</v>
      </c>
      <c r="C51" s="103" t="s">
        <v>83</v>
      </c>
      <c r="D51" s="103" t="s">
        <v>33</v>
      </c>
    </row>
    <row r="52" spans="1:11" s="88" customFormat="1" x14ac:dyDescent="0.25">
      <c r="A52" s="108">
        <f>H23</f>
        <v>0</v>
      </c>
      <c r="B52" s="114"/>
      <c r="C52" s="108">
        <f>B52-A52</f>
        <v>0</v>
      </c>
      <c r="D52" s="68" t="str">
        <f>IF(ABS(C52)&lt;1,"SI","NO")</f>
        <v>SI</v>
      </c>
    </row>
    <row r="53" spans="1:11" s="88" customFormat="1" x14ac:dyDescent="0.25"/>
    <row r="54" spans="1:11" s="88" customFormat="1" x14ac:dyDescent="0.25"/>
    <row r="55" spans="1:11" s="116" customFormat="1" x14ac:dyDescent="0.25">
      <c r="A55" s="115" t="s">
        <v>110</v>
      </c>
    </row>
    <row r="56" spans="1:11" s="116" customFormat="1" x14ac:dyDescent="0.25">
      <c r="A56" s="115"/>
    </row>
    <row r="57" spans="1:11" s="116" customFormat="1" x14ac:dyDescent="0.25">
      <c r="A57" s="117" t="s">
        <v>99</v>
      </c>
      <c r="B57" s="118" t="str">
        <f>D14</f>
        <v>Posición 1</v>
      </c>
      <c r="C57" s="118" t="str">
        <f t="shared" ref="C57:J57" si="8">E14</f>
        <v>Posición 2</v>
      </c>
      <c r="D57" s="118" t="str">
        <f t="shared" si="8"/>
        <v>Posición 3</v>
      </c>
      <c r="E57" s="118" t="str">
        <f t="shared" si="8"/>
        <v>Posición 4</v>
      </c>
      <c r="F57" s="118" t="str">
        <f t="shared" si="8"/>
        <v>Posición 5</v>
      </c>
      <c r="G57" s="118" t="str">
        <f t="shared" si="8"/>
        <v>Posición 6</v>
      </c>
      <c r="H57" s="118" t="str">
        <f t="shared" si="8"/>
        <v>Posición 7</v>
      </c>
      <c r="I57" s="118" t="str">
        <f t="shared" si="8"/>
        <v>Posición 8</v>
      </c>
      <c r="J57" s="118" t="str">
        <f t="shared" si="8"/>
        <v>Posición 9</v>
      </c>
    </row>
    <row r="58" spans="1:11" s="116" customFormat="1" x14ac:dyDescent="0.25">
      <c r="A58" s="117" t="s">
        <v>44</v>
      </c>
      <c r="B58" s="119">
        <f>D15</f>
        <v>0</v>
      </c>
      <c r="C58" s="119">
        <f t="shared" ref="C58:J58" si="9">E15</f>
        <v>0</v>
      </c>
      <c r="D58" s="119">
        <f t="shared" si="9"/>
        <v>0</v>
      </c>
      <c r="E58" s="119">
        <f t="shared" si="9"/>
        <v>0</v>
      </c>
      <c r="F58" s="119">
        <f t="shared" si="9"/>
        <v>0</v>
      </c>
      <c r="G58" s="119">
        <f t="shared" si="9"/>
        <v>0</v>
      </c>
      <c r="H58" s="119">
        <f t="shared" si="9"/>
        <v>0</v>
      </c>
      <c r="I58" s="119">
        <f t="shared" si="9"/>
        <v>0</v>
      </c>
      <c r="J58" s="119">
        <f t="shared" si="9"/>
        <v>0</v>
      </c>
    </row>
    <row r="59" spans="1:11" s="116" customFormat="1" ht="20.399999999999999" x14ac:dyDescent="0.25">
      <c r="A59" s="120" t="s">
        <v>100</v>
      </c>
      <c r="B59" s="121">
        <f>T!D308</f>
        <v>0</v>
      </c>
      <c r="C59" s="121">
        <f>T!E308</f>
        <v>0</v>
      </c>
      <c r="D59" s="121">
        <f>T!F308</f>
        <v>0</v>
      </c>
      <c r="E59" s="121">
        <f>T!G308</f>
        <v>0</v>
      </c>
      <c r="F59" s="121">
        <f>T!H308</f>
        <v>0</v>
      </c>
      <c r="G59" s="121">
        <f>T!I308</f>
        <v>0</v>
      </c>
      <c r="H59" s="121">
        <f>T!J308</f>
        <v>0</v>
      </c>
      <c r="I59" s="121">
        <f>T!K308</f>
        <v>0</v>
      </c>
      <c r="J59" s="121">
        <f>T!L308</f>
        <v>0</v>
      </c>
      <c r="K59" s="123"/>
    </row>
    <row r="60" spans="1:11" s="116" customFormat="1" ht="26.25" customHeight="1" x14ac:dyDescent="0.25">
      <c r="A60" s="127" t="s">
        <v>105</v>
      </c>
      <c r="B60" s="121">
        <f>HR!D308</f>
        <v>0</v>
      </c>
      <c r="C60" s="121">
        <f>HR!E308</f>
        <v>0</v>
      </c>
      <c r="D60" s="121">
        <f>HR!F308</f>
        <v>0</v>
      </c>
      <c r="E60" s="121">
        <f>HR!G308</f>
        <v>0</v>
      </c>
      <c r="F60" s="121">
        <f>HR!H308</f>
        <v>0</v>
      </c>
      <c r="G60" s="121">
        <f>HR!I308</f>
        <v>0</v>
      </c>
      <c r="H60" s="121">
        <f>HR!J308</f>
        <v>0</v>
      </c>
      <c r="I60" s="121">
        <f>HR!K308</f>
        <v>0</v>
      </c>
      <c r="J60" s="121">
        <f>HR!L308</f>
        <v>0</v>
      </c>
      <c r="K60" s="123"/>
    </row>
    <row r="61" spans="1:11" s="116" customFormat="1" x14ac:dyDescent="0.25">
      <c r="A61" s="122"/>
      <c r="B61" s="123"/>
      <c r="C61" s="123"/>
      <c r="D61" s="123"/>
      <c r="E61" s="123"/>
      <c r="F61" s="123"/>
      <c r="G61" s="123"/>
      <c r="H61" s="123"/>
      <c r="I61" s="123"/>
      <c r="J61" s="123"/>
      <c r="K61" s="123"/>
    </row>
    <row r="62" spans="1:11" s="116" customFormat="1" x14ac:dyDescent="0.25">
      <c r="A62" s="115"/>
      <c r="B62" s="124"/>
      <c r="C62" s="124"/>
      <c r="D62" s="124"/>
      <c r="E62" s="124"/>
    </row>
    <row r="63" spans="1:11" s="116" customFormat="1" x14ac:dyDescent="0.25">
      <c r="A63" s="198" t="s">
        <v>101</v>
      </c>
      <c r="B63" s="199">
        <f>MAX(B59:J59)</f>
        <v>0</v>
      </c>
      <c r="D63" s="125"/>
      <c r="E63" s="116" t="s">
        <v>102</v>
      </c>
    </row>
    <row r="64" spans="1:11" s="116" customFormat="1" x14ac:dyDescent="0.25">
      <c r="A64" s="198"/>
      <c r="B64" s="199"/>
      <c r="D64" s="126"/>
      <c r="E64" s="116" t="s">
        <v>103</v>
      </c>
    </row>
    <row r="65" spans="1:6" s="116" customFormat="1" x14ac:dyDescent="0.25">
      <c r="A65" s="198" t="s">
        <v>104</v>
      </c>
      <c r="B65" s="199">
        <f>MIN(B59:J59)</f>
        <v>0</v>
      </c>
    </row>
    <row r="66" spans="1:6" s="116" customFormat="1" x14ac:dyDescent="0.25">
      <c r="A66" s="198"/>
      <c r="B66" s="199"/>
    </row>
    <row r="67" spans="1:6" s="116" customFormat="1" x14ac:dyDescent="0.25"/>
    <row r="68" spans="1:6" s="116" customFormat="1" ht="13.2" x14ac:dyDescent="0.25">
      <c r="A68" s="196" t="s">
        <v>106</v>
      </c>
      <c r="B68" s="197">
        <f>MAX(B60:J60)</f>
        <v>0</v>
      </c>
      <c r="C68" s="128"/>
      <c r="D68" s="129"/>
      <c r="E68" s="130" t="s">
        <v>107</v>
      </c>
      <c r="F68" s="130"/>
    </row>
    <row r="69" spans="1:6" s="116" customFormat="1" ht="18.75" customHeight="1" x14ac:dyDescent="0.25">
      <c r="A69" s="196"/>
      <c r="B69" s="197"/>
      <c r="C69" s="128"/>
      <c r="D69" s="131"/>
      <c r="E69" s="130" t="s">
        <v>108</v>
      </c>
      <c r="F69" s="130"/>
    </row>
    <row r="70" spans="1:6" s="116" customFormat="1" ht="13.2" x14ac:dyDescent="0.25">
      <c r="A70" s="196" t="s">
        <v>109</v>
      </c>
      <c r="B70" s="197">
        <f>MIN(B60:J60)</f>
        <v>0</v>
      </c>
      <c r="C70" s="128"/>
      <c r="F70" s="130"/>
    </row>
    <row r="71" spans="1:6" s="116" customFormat="1" ht="17.25" customHeight="1" x14ac:dyDescent="0.25">
      <c r="A71" s="196"/>
      <c r="B71" s="197"/>
      <c r="C71" s="128"/>
      <c r="F71" s="130"/>
    </row>
    <row r="72" spans="1:6" s="88" customFormat="1" x14ac:dyDescent="0.25"/>
    <row r="73" spans="1:6" s="88" customFormat="1" x14ac:dyDescent="0.25"/>
    <row r="74" spans="1:6" s="88" customFormat="1" x14ac:dyDescent="0.25"/>
    <row r="75" spans="1:6" s="88" customFormat="1" x14ac:dyDescent="0.25"/>
    <row r="76" spans="1:6" s="88" customFormat="1" x14ac:dyDescent="0.25"/>
    <row r="77" spans="1:6" s="88" customFormat="1" x14ac:dyDescent="0.25"/>
    <row r="78" spans="1:6" s="88" customFormat="1" x14ac:dyDescent="0.25"/>
    <row r="79" spans="1:6" s="88" customFormat="1" x14ac:dyDescent="0.25"/>
    <row r="80" spans="1:6" s="88" customFormat="1" x14ac:dyDescent="0.25"/>
    <row r="81" s="88" customFormat="1" x14ac:dyDescent="0.25"/>
    <row r="82" s="88" customFormat="1" x14ac:dyDescent="0.25"/>
    <row r="83" s="88" customFormat="1" x14ac:dyDescent="0.25"/>
    <row r="84" s="88" customFormat="1" x14ac:dyDescent="0.25"/>
    <row r="85" s="88" customFormat="1" x14ac:dyDescent="0.25"/>
    <row r="86" s="88" customFormat="1" x14ac:dyDescent="0.25"/>
    <row r="87" s="88" customFormat="1" x14ac:dyDescent="0.25"/>
    <row r="88" s="88" customFormat="1" x14ac:dyDescent="0.25"/>
    <row r="89" s="88" customFormat="1" x14ac:dyDescent="0.25"/>
    <row r="90" s="88" customFormat="1" x14ac:dyDescent="0.25"/>
    <row r="91" s="88" customFormat="1" x14ac:dyDescent="0.25"/>
    <row r="92" s="88" customFormat="1" x14ac:dyDescent="0.25"/>
    <row r="93" s="88" customFormat="1" x14ac:dyDescent="0.25"/>
    <row r="94" s="88" customFormat="1" x14ac:dyDescent="0.25"/>
    <row r="95" s="88" customFormat="1" x14ac:dyDescent="0.25"/>
    <row r="96" s="88" customFormat="1" x14ac:dyDescent="0.25"/>
    <row r="97" s="88" customFormat="1" x14ac:dyDescent="0.25"/>
    <row r="98" s="88" customFormat="1" x14ac:dyDescent="0.25"/>
    <row r="99" s="88" customFormat="1" x14ac:dyDescent="0.25"/>
    <row r="100" s="88" customFormat="1" x14ac:dyDescent="0.25"/>
    <row r="101" s="88" customFormat="1" x14ac:dyDescent="0.25"/>
    <row r="102" s="88" customFormat="1" x14ac:dyDescent="0.25"/>
    <row r="103" s="88" customFormat="1" x14ac:dyDescent="0.25"/>
    <row r="104" s="88" customFormat="1" x14ac:dyDescent="0.25"/>
    <row r="105" s="88" customFormat="1" x14ac:dyDescent="0.25"/>
    <row r="106" s="88" customFormat="1" x14ac:dyDescent="0.25"/>
    <row r="107" s="88" customFormat="1" x14ac:dyDescent="0.25"/>
    <row r="108" s="88" customFormat="1" x14ac:dyDescent="0.25"/>
    <row r="109" s="88" customFormat="1" x14ac:dyDescent="0.25"/>
    <row r="110" s="88" customFormat="1" x14ac:dyDescent="0.25"/>
    <row r="111" s="88" customFormat="1" x14ac:dyDescent="0.25"/>
    <row r="112" s="88" customFormat="1" x14ac:dyDescent="0.25"/>
    <row r="113" s="88" customFormat="1" x14ac:dyDescent="0.25"/>
    <row r="114" s="88" customFormat="1" x14ac:dyDescent="0.25"/>
    <row r="115" s="88" customFormat="1" x14ac:dyDescent="0.25"/>
    <row r="116" s="88" customFormat="1" x14ac:dyDescent="0.25"/>
    <row r="117" s="88" customFormat="1" x14ac:dyDescent="0.25"/>
    <row r="118" s="88" customFormat="1" x14ac:dyDescent="0.25"/>
    <row r="119" s="88" customFormat="1" x14ac:dyDescent="0.25"/>
    <row r="120" s="88" customFormat="1" x14ac:dyDescent="0.25"/>
    <row r="121" s="88" customFormat="1" x14ac:dyDescent="0.25"/>
    <row r="122" s="88" customFormat="1" x14ac:dyDescent="0.25"/>
    <row r="123" s="88" customFormat="1" x14ac:dyDescent="0.25"/>
    <row r="124" s="88" customFormat="1" x14ac:dyDescent="0.25"/>
    <row r="125" s="88" customFormat="1" x14ac:dyDescent="0.25"/>
    <row r="126" s="88" customFormat="1" x14ac:dyDescent="0.25"/>
    <row r="127" s="88" customFormat="1" x14ac:dyDescent="0.25"/>
    <row r="128" s="88" customFormat="1" x14ac:dyDescent="0.25"/>
    <row r="129" s="88" customFormat="1" x14ac:dyDescent="0.25"/>
    <row r="130" s="88" customFormat="1" x14ac:dyDescent="0.25"/>
    <row r="131" s="88" customFormat="1" x14ac:dyDescent="0.25"/>
    <row r="132" s="88" customFormat="1" x14ac:dyDescent="0.25"/>
    <row r="133" s="88" customFormat="1" x14ac:dyDescent="0.25"/>
    <row r="134" s="88" customFormat="1" x14ac:dyDescent="0.25"/>
    <row r="135" s="88" customFormat="1" x14ac:dyDescent="0.25"/>
    <row r="136" s="88" customFormat="1" x14ac:dyDescent="0.25"/>
    <row r="137" s="88" customFormat="1" x14ac:dyDescent="0.25"/>
    <row r="138" s="88" customFormat="1" x14ac:dyDescent="0.25"/>
    <row r="139" s="88" customFormat="1" x14ac:dyDescent="0.25"/>
    <row r="140" s="88" customFormat="1" x14ac:dyDescent="0.25"/>
    <row r="141" s="88" customFormat="1" x14ac:dyDescent="0.25"/>
    <row r="142" s="88" customFormat="1" x14ac:dyDescent="0.25"/>
    <row r="143" s="88" customFormat="1" x14ac:dyDescent="0.25"/>
    <row r="144" s="88" customFormat="1" x14ac:dyDescent="0.25"/>
    <row r="145" s="88" customFormat="1" x14ac:dyDescent="0.25"/>
    <row r="146" s="88" customFormat="1" x14ac:dyDescent="0.25"/>
    <row r="147" s="88" customFormat="1" x14ac:dyDescent="0.25"/>
    <row r="148" s="88" customFormat="1" x14ac:dyDescent="0.25"/>
    <row r="149" s="88" customFormat="1" x14ac:dyDescent="0.25"/>
    <row r="150" s="88" customFormat="1" x14ac:dyDescent="0.25"/>
    <row r="151" s="88" customFormat="1" x14ac:dyDescent="0.25"/>
    <row r="152" s="88" customFormat="1" x14ac:dyDescent="0.25"/>
    <row r="153" s="88" customFormat="1" x14ac:dyDescent="0.25"/>
    <row r="154" s="88" customFormat="1" x14ac:dyDescent="0.25"/>
    <row r="155" s="88" customFormat="1" x14ac:dyDescent="0.25"/>
    <row r="156" s="88" customFormat="1" x14ac:dyDescent="0.25"/>
    <row r="157" s="88" customFormat="1" x14ac:dyDescent="0.25"/>
    <row r="158" s="88" customFormat="1" x14ac:dyDescent="0.25"/>
    <row r="159" s="88" customFormat="1" x14ac:dyDescent="0.25"/>
    <row r="160" s="88" customFormat="1" x14ac:dyDescent="0.25"/>
    <row r="161" s="88" customFormat="1" x14ac:dyDescent="0.25"/>
    <row r="162" s="88" customFormat="1" x14ac:dyDescent="0.25"/>
    <row r="163" s="88" customFormat="1" x14ac:dyDescent="0.25"/>
    <row r="164" s="88" customFormat="1" x14ac:dyDescent="0.25"/>
    <row r="165" s="88" customFormat="1" x14ac:dyDescent="0.25"/>
    <row r="166" s="88" customFormat="1" x14ac:dyDescent="0.25"/>
    <row r="167" s="88" customFormat="1" x14ac:dyDescent="0.25"/>
    <row r="168" s="88" customFormat="1" x14ac:dyDescent="0.25"/>
    <row r="169" s="88" customFormat="1" x14ac:dyDescent="0.25"/>
    <row r="170" s="88" customFormat="1" x14ac:dyDescent="0.25"/>
    <row r="171" s="88" customFormat="1" x14ac:dyDescent="0.25"/>
    <row r="172" s="88" customFormat="1" x14ac:dyDescent="0.25"/>
    <row r="173" s="88" customFormat="1" x14ac:dyDescent="0.25"/>
    <row r="174" s="88" customFormat="1" x14ac:dyDescent="0.25"/>
    <row r="175" s="88" customFormat="1" x14ac:dyDescent="0.25"/>
    <row r="176" s="88" customFormat="1" x14ac:dyDescent="0.25"/>
    <row r="177" s="88" customFormat="1" x14ac:dyDescent="0.25"/>
    <row r="178" s="88" customFormat="1" x14ac:dyDescent="0.25"/>
    <row r="179" s="88" customFormat="1" x14ac:dyDescent="0.25"/>
    <row r="180" s="88" customFormat="1" x14ac:dyDescent="0.25"/>
    <row r="181" s="88" customFormat="1" x14ac:dyDescent="0.25"/>
    <row r="182" s="88" customFormat="1" x14ac:dyDescent="0.25"/>
    <row r="183" s="88" customFormat="1" x14ac:dyDescent="0.25"/>
    <row r="184" s="88" customFormat="1" x14ac:dyDescent="0.25"/>
    <row r="185" s="88" customFormat="1" x14ac:dyDescent="0.25"/>
    <row r="186" s="88" customFormat="1" x14ac:dyDescent="0.25"/>
    <row r="187" s="88" customFormat="1" x14ac:dyDescent="0.25"/>
    <row r="188" s="88" customFormat="1" x14ac:dyDescent="0.25"/>
    <row r="189" s="88" customFormat="1" x14ac:dyDescent="0.25"/>
    <row r="190" s="88" customFormat="1" x14ac:dyDescent="0.25"/>
    <row r="191" s="88" customFormat="1" x14ac:dyDescent="0.25"/>
    <row r="192" s="88" customFormat="1" x14ac:dyDescent="0.25"/>
    <row r="193" s="88" customFormat="1" x14ac:dyDescent="0.25"/>
    <row r="194" s="88" customFormat="1" x14ac:dyDescent="0.25"/>
    <row r="195" s="88" customFormat="1" x14ac:dyDescent="0.25"/>
    <row r="196" s="88" customFormat="1" x14ac:dyDescent="0.25"/>
    <row r="197" s="88" customFormat="1" x14ac:dyDescent="0.25"/>
    <row r="198" s="88" customFormat="1" x14ac:dyDescent="0.25"/>
    <row r="199" s="88" customFormat="1" x14ac:dyDescent="0.25"/>
    <row r="200" s="88" customFormat="1" x14ac:dyDescent="0.25"/>
    <row r="201" s="88" customFormat="1" x14ac:dyDescent="0.25"/>
    <row r="202" s="88" customFormat="1" x14ac:dyDescent="0.25"/>
    <row r="203" s="88" customFormat="1" x14ac:dyDescent="0.25"/>
    <row r="204" s="88" customFormat="1" x14ac:dyDescent="0.25"/>
    <row r="205" s="88" customFormat="1" x14ac:dyDescent="0.25"/>
    <row r="206" s="88" customFormat="1" x14ac:dyDescent="0.25"/>
    <row r="207" s="88" customFormat="1" x14ac:dyDescent="0.25"/>
    <row r="208" s="88" customFormat="1" x14ac:dyDescent="0.25"/>
    <row r="209" s="88" customFormat="1" x14ac:dyDescent="0.25"/>
    <row r="210" s="88" customFormat="1" x14ac:dyDescent="0.25"/>
    <row r="211" s="88" customFormat="1" x14ac:dyDescent="0.25"/>
    <row r="212" s="88" customFormat="1" x14ac:dyDescent="0.25"/>
    <row r="213" s="88" customFormat="1" x14ac:dyDescent="0.25"/>
    <row r="214" s="88" customFormat="1" x14ac:dyDescent="0.25"/>
    <row r="215" s="88" customFormat="1" x14ac:dyDescent="0.25"/>
    <row r="216" s="88" customFormat="1" x14ac:dyDescent="0.25"/>
    <row r="217" s="88" customFormat="1" x14ac:dyDescent="0.25"/>
    <row r="218" s="88" customFormat="1" x14ac:dyDescent="0.25"/>
    <row r="219" s="88" customFormat="1" x14ac:dyDescent="0.25"/>
    <row r="220" s="88" customFormat="1" x14ac:dyDescent="0.25"/>
    <row r="221" s="88" customFormat="1" x14ac:dyDescent="0.25"/>
    <row r="222" s="88" customFormat="1" x14ac:dyDescent="0.25"/>
    <row r="223" s="88" customFormat="1" x14ac:dyDescent="0.25"/>
    <row r="224" s="88" customFormat="1" x14ac:dyDescent="0.25"/>
    <row r="225" s="88" customFormat="1" x14ac:dyDescent="0.25"/>
    <row r="226" s="88" customFormat="1" x14ac:dyDescent="0.25"/>
    <row r="227" s="88" customFormat="1" x14ac:dyDescent="0.25"/>
    <row r="228" s="88" customFormat="1" x14ac:dyDescent="0.25"/>
    <row r="229" s="88" customFormat="1" x14ac:dyDescent="0.25"/>
    <row r="230" s="88" customFormat="1" x14ac:dyDescent="0.25"/>
    <row r="231" s="88" customFormat="1" x14ac:dyDescent="0.25"/>
    <row r="232" s="88" customFormat="1" x14ac:dyDescent="0.25"/>
    <row r="233" s="88" customFormat="1" x14ac:dyDescent="0.25"/>
    <row r="234" s="88" customFormat="1" x14ac:dyDescent="0.25"/>
    <row r="235" s="88" customFormat="1" x14ac:dyDescent="0.25"/>
    <row r="236" s="88" customFormat="1" x14ac:dyDescent="0.25"/>
    <row r="237" s="88" customFormat="1" x14ac:dyDescent="0.25"/>
    <row r="238" s="88" customFormat="1" x14ac:dyDescent="0.25"/>
    <row r="239" s="88" customFormat="1" x14ac:dyDescent="0.25"/>
    <row r="240" s="88" customFormat="1" x14ac:dyDescent="0.25"/>
    <row r="241" s="88" customFormat="1" x14ac:dyDescent="0.25"/>
    <row r="242" s="88" customFormat="1" x14ac:dyDescent="0.25"/>
    <row r="243" s="88" customFormat="1" x14ac:dyDescent="0.25"/>
    <row r="244" s="88" customFormat="1" x14ac:dyDescent="0.25"/>
    <row r="245" s="88" customFormat="1" x14ac:dyDescent="0.25"/>
    <row r="246" s="88" customFormat="1" x14ac:dyDescent="0.25"/>
    <row r="247" s="88" customFormat="1" x14ac:dyDescent="0.25"/>
    <row r="248" s="88" customFormat="1" x14ac:dyDescent="0.25"/>
    <row r="249" s="88" customFormat="1" x14ac:dyDescent="0.25"/>
    <row r="250" s="88" customFormat="1" x14ac:dyDescent="0.25"/>
    <row r="251" s="88" customFormat="1" x14ac:dyDescent="0.25"/>
    <row r="252" s="88" customFormat="1" x14ac:dyDescent="0.25"/>
    <row r="253" s="88" customFormat="1" x14ac:dyDescent="0.25"/>
    <row r="254" s="88" customFormat="1" x14ac:dyDescent="0.25"/>
    <row r="255" s="88" customFormat="1" x14ac:dyDescent="0.25"/>
    <row r="256" s="88" customFormat="1" x14ac:dyDescent="0.25"/>
    <row r="257" s="88" customFormat="1" x14ac:dyDescent="0.25"/>
    <row r="258" s="88" customFormat="1" x14ac:dyDescent="0.25"/>
    <row r="259" s="88" customFormat="1" x14ac:dyDescent="0.25"/>
    <row r="260" s="88" customFormat="1" x14ac:dyDescent="0.25"/>
    <row r="261" s="88" customFormat="1" x14ac:dyDescent="0.25"/>
    <row r="262" s="88" customFormat="1" x14ac:dyDescent="0.25"/>
    <row r="263" s="88" customFormat="1" x14ac:dyDescent="0.25"/>
    <row r="264" s="88" customFormat="1" x14ac:dyDescent="0.25"/>
    <row r="265" s="88" customFormat="1" x14ac:dyDescent="0.25"/>
    <row r="266" s="88" customFormat="1" x14ac:dyDescent="0.25"/>
    <row r="267" s="88" customFormat="1" x14ac:dyDescent="0.25"/>
    <row r="268" s="88" customFormat="1" x14ac:dyDescent="0.25"/>
    <row r="269" s="88" customFormat="1" x14ac:dyDescent="0.25"/>
    <row r="270" s="88" customFormat="1" x14ac:dyDescent="0.25"/>
    <row r="271" s="88" customFormat="1" x14ac:dyDescent="0.25"/>
    <row r="272" s="88" customFormat="1" x14ac:dyDescent="0.25"/>
    <row r="273" s="88" customFormat="1" x14ac:dyDescent="0.25"/>
    <row r="274" s="88" customFormat="1" x14ac:dyDescent="0.25"/>
    <row r="275" s="88" customFormat="1" x14ac:dyDescent="0.25"/>
    <row r="276" s="88" customFormat="1" x14ac:dyDescent="0.25"/>
    <row r="277" s="88" customFormat="1" x14ac:dyDescent="0.25"/>
    <row r="278" s="88" customFormat="1" x14ac:dyDescent="0.25"/>
    <row r="279" s="88" customFormat="1" x14ac:dyDescent="0.25"/>
    <row r="280" s="88" customFormat="1" x14ac:dyDescent="0.25"/>
    <row r="281" s="88" customFormat="1" x14ac:dyDescent="0.25"/>
    <row r="282" s="88" customFormat="1" x14ac:dyDescent="0.25"/>
    <row r="283" s="88" customFormat="1" x14ac:dyDescent="0.25"/>
    <row r="284" s="88" customFormat="1" x14ac:dyDescent="0.25"/>
    <row r="285" s="88" customFormat="1" x14ac:dyDescent="0.25"/>
    <row r="286" s="88" customFormat="1" x14ac:dyDescent="0.25"/>
    <row r="287" s="88" customFormat="1" x14ac:dyDescent="0.25"/>
    <row r="288" s="88" customFormat="1" x14ac:dyDescent="0.25"/>
    <row r="289" s="88" customFormat="1" x14ac:dyDescent="0.25"/>
    <row r="290" s="88" customFormat="1" x14ac:dyDescent="0.25"/>
    <row r="291" s="88" customFormat="1" x14ac:dyDescent="0.25"/>
    <row r="292" s="88" customFormat="1" x14ac:dyDescent="0.25"/>
    <row r="293" s="88" customFormat="1" x14ac:dyDescent="0.25"/>
    <row r="294" s="88" customFormat="1" x14ac:dyDescent="0.25"/>
    <row r="295" s="88" customFormat="1" x14ac:dyDescent="0.25"/>
    <row r="296" s="88" customFormat="1" x14ac:dyDescent="0.25"/>
    <row r="297" s="88" customFormat="1" x14ac:dyDescent="0.25"/>
    <row r="298" s="88" customFormat="1" x14ac:dyDescent="0.25"/>
    <row r="299" s="88" customFormat="1" x14ac:dyDescent="0.25"/>
    <row r="300" s="88" customFormat="1" x14ac:dyDescent="0.25"/>
    <row r="301" s="88" customFormat="1" x14ac:dyDescent="0.25"/>
    <row r="302" s="88" customFormat="1" x14ac:dyDescent="0.25"/>
    <row r="303" s="88" customFormat="1" x14ac:dyDescent="0.25"/>
    <row r="304" s="88" customFormat="1" x14ac:dyDescent="0.25"/>
    <row r="305" s="88" customFormat="1" x14ac:dyDescent="0.25"/>
    <row r="306" s="88" customFormat="1" x14ac:dyDescent="0.25"/>
    <row r="307" s="88" customFormat="1" x14ac:dyDescent="0.25"/>
    <row r="308" s="88" customFormat="1" x14ac:dyDescent="0.25"/>
    <row r="309" s="88" customFormat="1" x14ac:dyDescent="0.25"/>
    <row r="310" s="88" customFormat="1" x14ac:dyDescent="0.25"/>
    <row r="311" s="88" customFormat="1" x14ac:dyDescent="0.25"/>
    <row r="312" s="88" customFormat="1" x14ac:dyDescent="0.25"/>
    <row r="313" s="88" customFormat="1" x14ac:dyDescent="0.25"/>
    <row r="314" s="88" customFormat="1" x14ac:dyDescent="0.25"/>
    <row r="315" s="88" customFormat="1" x14ac:dyDescent="0.25"/>
    <row r="316" s="88" customFormat="1" x14ac:dyDescent="0.25"/>
  </sheetData>
  <mergeCells count="33">
    <mergeCell ref="A13:B13"/>
    <mergeCell ref="A21:A22"/>
    <mergeCell ref="B21:C21"/>
    <mergeCell ref="C15:C16"/>
    <mergeCell ref="C13:L13"/>
    <mergeCell ref="J15:J16"/>
    <mergeCell ref="K15:K16"/>
    <mergeCell ref="L15:L16"/>
    <mergeCell ref="G21:G22"/>
    <mergeCell ref="H21:I21"/>
    <mergeCell ref="F15:F16"/>
    <mergeCell ref="E15:E16"/>
    <mergeCell ref="G15:G16"/>
    <mergeCell ref="H15:H16"/>
    <mergeCell ref="I15:I16"/>
    <mergeCell ref="B37:D37"/>
    <mergeCell ref="E37:F37"/>
    <mergeCell ref="A37:A38"/>
    <mergeCell ref="B32:E32"/>
    <mergeCell ref="H32:K32"/>
    <mergeCell ref="A40:A41"/>
    <mergeCell ref="B40:D40"/>
    <mergeCell ref="E40:F40"/>
    <mergeCell ref="A50:B50"/>
    <mergeCell ref="A47:B47"/>
    <mergeCell ref="A68:A69"/>
    <mergeCell ref="B68:B69"/>
    <mergeCell ref="A70:A71"/>
    <mergeCell ref="B70:B71"/>
    <mergeCell ref="A63:A64"/>
    <mergeCell ref="B63:B64"/>
    <mergeCell ref="A65:A66"/>
    <mergeCell ref="B65:B66"/>
  </mergeCells>
  <conditionalFormatting sqref="B65">
    <cfRule type="cellIs" dxfId="8" priority="5" operator="equal">
      <formula>#REF!</formula>
    </cfRule>
  </conditionalFormatting>
  <conditionalFormatting sqref="B59:J59">
    <cfRule type="cellIs" dxfId="7" priority="3" operator="equal">
      <formula>$B$65</formula>
    </cfRule>
    <cfRule type="cellIs" dxfId="6" priority="4" operator="equal">
      <formula>$B$63</formula>
    </cfRule>
  </conditionalFormatting>
  <conditionalFormatting sqref="B60:J60">
    <cfRule type="cellIs" dxfId="5" priority="1" operator="equal">
      <formula>$B$70</formula>
    </cfRule>
    <cfRule type="cellIs" dxfId="4" priority="2" operator="equal">
      <formula>$B$68</formula>
    </cfRule>
  </conditionalFormatting>
  <conditionalFormatting sqref="D52">
    <cfRule type="cellIs" dxfId="3" priority="10" operator="equal">
      <formula>"SI"</formula>
    </cfRule>
  </conditionalFormatting>
  <conditionalFormatting sqref="D23:E31 G39 D49">
    <cfRule type="cellIs" dxfId="2" priority="13" operator="equal">
      <formula>"SI"</formula>
    </cfRule>
  </conditionalFormatting>
  <conditionalFormatting sqref="G42">
    <cfRule type="cellIs" dxfId="1" priority="11" operator="equal">
      <formula>"SI"</formula>
    </cfRule>
  </conditionalFormatting>
  <conditionalFormatting sqref="J23:K31">
    <cfRule type="cellIs" dxfId="0" priority="9" operator="equal">
      <formula>"SI"</formula>
    </cfRule>
  </conditionalFormatting>
  <pageMargins left="0.7" right="0.7" top="0.75" bottom="0.75" header="0.3" footer="0.3"/>
  <ignoredErrors>
    <ignoredError sqref="A50:B51 A49 B24:D31 H24:J31 B39:D42 B23:C23 E25:E31 E23 C50:C51 D50:D51 H23:J23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7</vt:i4>
      </vt:variant>
      <vt:variant>
        <vt:lpstr>Gráficos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14" baseType="lpstr">
      <vt:lpstr>Primarios</vt:lpstr>
      <vt:lpstr>PalisadeFitLinks</vt:lpstr>
      <vt:lpstr>T</vt:lpstr>
      <vt:lpstr>Fallas Tem</vt:lpstr>
      <vt:lpstr>HR</vt:lpstr>
      <vt:lpstr>Fallas HR </vt:lpstr>
      <vt:lpstr>Análisis</vt:lpstr>
      <vt:lpstr>GT</vt:lpstr>
      <vt:lpstr>Grafico Fallas Tem</vt:lpstr>
      <vt:lpstr>GHR</vt:lpstr>
      <vt:lpstr>Grafico fallas HR</vt:lpstr>
      <vt:lpstr>HR!Títulos_a_imprimir</vt:lpstr>
      <vt:lpstr>Primarios!Títulos_a_imprimir</vt:lpstr>
      <vt:lpstr>T!Títulos_a_imprimir</vt:lpstr>
    </vt:vector>
  </TitlesOfParts>
  <Company>BPM ANDINA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Germán</dc:creator>
  <cp:lastModifiedBy>Zoser</cp:lastModifiedBy>
  <cp:lastPrinted>2023-05-03T16:57:43Z</cp:lastPrinted>
  <dcterms:created xsi:type="dcterms:W3CDTF">2006-10-12T20:02:01Z</dcterms:created>
  <dcterms:modified xsi:type="dcterms:W3CDTF">2026-04-14T20:37:24Z</dcterms:modified>
</cp:coreProperties>
</file>